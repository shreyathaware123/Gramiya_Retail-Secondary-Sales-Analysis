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Shrey\Downloads\"/>
    </mc:Choice>
  </mc:AlternateContent>
  <xr:revisionPtr revIDLastSave="0" documentId="13_ncr:1_{57444895-704D-457F-960F-BCD922A2FBFB}" xr6:coauthVersionLast="47" xr6:coauthVersionMax="47" xr10:uidLastSave="{00000000-0000-0000-0000-000000000000}"/>
  <bookViews>
    <workbookView xWindow="-108" yWindow="-108" windowWidth="23256" windowHeight="12456" activeTab="4" xr2:uid="{00000000-000D-0000-FFFF-FFFF00000000}"/>
  </bookViews>
  <sheets>
    <sheet name="Raw Data" sheetId="1" r:id="rId1"/>
    <sheet name="Clean Data" sheetId="2" r:id="rId2"/>
    <sheet name="Cleaning_Log" sheetId="4" r:id="rId3"/>
    <sheet name="Pivot Tables" sheetId="8" r:id="rId4"/>
    <sheet name="Dashboard" sheetId="6" r:id="rId5"/>
    <sheet name="Back up clean data" sheetId="3" r:id="rId6"/>
    <sheet name="Outlet Activity" sheetId="9" r:id="rId7"/>
  </sheets>
  <definedNames>
    <definedName name="_xlnm._FilterDatabase" localSheetId="5" hidden="1">'Back up clean data'!$A$1:$L$321</definedName>
    <definedName name="_xlnm._FilterDatabase" localSheetId="1" hidden="1">'Clean Data'!$A$1:$L$311</definedName>
    <definedName name="_xlnm._FilterDatabase" localSheetId="6" hidden="1">'Outlet Activity'!$A$1:$L$311</definedName>
    <definedName name="_xlcn.WorksheetConnection_CleanDataA1M3111" hidden="1">'Clean Data'!$A$1:$M$311</definedName>
    <definedName name="Slicer_Beat">#N/A</definedName>
    <definedName name="Slicer_Category">#N/A</definedName>
    <definedName name="Slicer_Distributor_Clean">#N/A</definedName>
    <definedName name="Slicer_SKU">#N/A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Clean Data!$A$1:$M$311"/>
        </x15:modelTables>
        <x15:extLst>
          <ext xmlns:x16="http://schemas.microsoft.com/office/spreadsheetml/2014/11/main" uri="{9835A34E-60A6-4A7C-AAB8-D5F71C897F49}">
            <x16:modelTimeGroupings>
              <x16:modelTimeGrouping tableName="Range" columnName="Date_Clean" columnId="Date_Clean">
                <x16:calculatedTimeColumn columnName="Date_Clean (Month Index)" columnId="Date_Clean (Month Index)" contentType="monthsindex" isSelected="1"/>
                <x16:calculatedTimeColumn columnName="Date_Clean (Month)" columnId="Date_Clean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9" i="8" l="1"/>
  <c r="K38" i="8"/>
  <c r="J39" i="8"/>
  <c r="J38" i="8"/>
  <c r="J37" i="8"/>
  <c r="K37" i="8" s="1"/>
  <c r="J36" i="8"/>
  <c r="K36" i="8" s="1"/>
  <c r="J35" i="8"/>
  <c r="F28" i="8"/>
  <c r="G28" i="8" s="1"/>
  <c r="F27" i="8"/>
  <c r="G27" i="8" s="1"/>
  <c r="F26" i="8"/>
  <c r="G26" i="8" s="1"/>
  <c r="F25" i="8"/>
  <c r="G25" i="8" s="1"/>
  <c r="F24" i="8"/>
  <c r="G24" i="8" s="1"/>
  <c r="F23" i="8"/>
  <c r="G23" i="8" s="1"/>
  <c r="F22" i="8"/>
  <c r="G22" i="8" s="1"/>
  <c r="F16" i="8"/>
  <c r="G16" i="8" s="1"/>
  <c r="F15" i="8"/>
  <c r="F9" i="8"/>
  <c r="G9" i="8" s="1"/>
  <c r="F8" i="8"/>
  <c r="G8" i="8" s="1"/>
  <c r="F7" i="8"/>
  <c r="G7" i="8" s="1"/>
  <c r="F6" i="8"/>
  <c r="G6" i="8" s="1"/>
  <c r="F5" i="8"/>
  <c r="K35" i="8" l="1"/>
  <c r="J40" i="8"/>
  <c r="K40" i="8" s="1"/>
  <c r="G15" i="8"/>
  <c r="F17" i="8"/>
  <c r="G17" i="8" s="1"/>
  <c r="G5" i="8"/>
  <c r="F10" i="8"/>
  <c r="G10"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A4F965-C278-4DE2-9281-8B2584DCD1E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2ED9E53-3864-458C-A5A6-41987603470F}" name="WorksheetConnection_Clean Data!$A$1:$M$311" type="102" refreshedVersion="8" minRefreshableVersion="5">
    <extLst>
      <ext xmlns:x15="http://schemas.microsoft.com/office/spreadsheetml/2010/11/main" uri="{DE250136-89BD-433C-8126-D09CA5730AF9}">
        <x15:connection id="Range" autoDelete="1">
          <x15:rangePr sourceName="_xlcn.WorksheetConnection_CleanDataA1M3111"/>
        </x15:connection>
      </ext>
    </extLst>
  </connection>
</connections>
</file>

<file path=xl/sharedStrings.xml><?xml version="1.0" encoding="utf-8"?>
<sst xmlns="http://schemas.openxmlformats.org/spreadsheetml/2006/main" count="9925" uniqueCount="384">
  <si>
    <t>Date</t>
  </si>
  <si>
    <t>Distributor</t>
  </si>
  <si>
    <t>Outlet_ID</t>
  </si>
  <si>
    <t>Outlet_Name</t>
  </si>
  <si>
    <t>Beat</t>
  </si>
  <si>
    <t>SKU</t>
  </si>
  <si>
    <t>Category</t>
  </si>
  <si>
    <t>Qty_Sold</t>
  </si>
  <si>
    <t>Unit_Price</t>
  </si>
  <si>
    <t>Sales_Value</t>
  </si>
  <si>
    <t>2026-06-24</t>
  </si>
  <si>
    <t>SALEM FRESH FOODS</t>
  </si>
  <si>
    <t>OUT1039</t>
  </si>
  <si>
    <t>Sathya Provision Store</t>
  </si>
  <si>
    <t>Beat-05</t>
  </si>
  <si>
    <t>A2 Bilona Ghee 500ml</t>
  </si>
  <si>
    <t>Ghee</t>
  </si>
  <si>
    <t>03/07/2026</t>
  </si>
  <si>
    <t>Madurai Retail  Hub</t>
  </si>
  <si>
    <t>OUT1066</t>
  </si>
  <si>
    <t>Sri Mart</t>
  </si>
  <si>
    <t>Beat-02</t>
  </si>
  <si>
    <t>Wood Pressed Mustard Oil 1L</t>
  </si>
  <si>
    <t>Oils</t>
  </si>
  <si>
    <t>2026-06-27</t>
  </si>
  <si>
    <t>Coimbatore Agro Traders</t>
  </si>
  <si>
    <t>OUT1029</t>
  </si>
  <si>
    <t>Sri General Store</t>
  </si>
  <si>
    <t>Cold Pressed Coconut Oil 500ml</t>
  </si>
  <si>
    <t>2026-07-21</t>
  </si>
  <si>
    <t>Trichy Central Dist.</t>
  </si>
  <si>
    <t>OUT1061</t>
  </si>
  <si>
    <t>Beat-04</t>
  </si>
  <si>
    <t>Cold Pressed Sunflower Oil 1L</t>
  </si>
  <si>
    <t>17-06-2026</t>
  </si>
  <si>
    <t>OUT1042</t>
  </si>
  <si>
    <t>New Mart</t>
  </si>
  <si>
    <t>07-06-2026</t>
  </si>
  <si>
    <t>Chennai South Distrbution</t>
  </si>
  <si>
    <t>OUT1043</t>
  </si>
  <si>
    <t>Sathya Supermarket</t>
  </si>
  <si>
    <t>Beat-01</t>
  </si>
  <si>
    <t>Cold Pressed Groundnut Oil 1L</t>
  </si>
  <si>
    <t>27/07/2026</t>
  </si>
  <si>
    <t>Trichy Central Distributors</t>
  </si>
  <si>
    <t>OUT1056</t>
  </si>
  <si>
    <t>Balaji Supermarket</t>
  </si>
  <si>
    <t>04-07-2026</t>
  </si>
  <si>
    <t>OUT1053</t>
  </si>
  <si>
    <t>Amman Provision Store</t>
  </si>
  <si>
    <t>Beat-03</t>
  </si>
  <si>
    <t>03-06-2026</t>
  </si>
  <si>
    <t>Coimbatore Agro Trader</t>
  </si>
  <si>
    <t>OUT1032</t>
  </si>
  <si>
    <t>Amman Stores</t>
  </si>
  <si>
    <t>16-07-2026</t>
  </si>
  <si>
    <t>OUT1084</t>
  </si>
  <si>
    <t>Shree General Store</t>
  </si>
  <si>
    <t>Cold Pressed Sesame Oil 1L</t>
  </si>
  <si>
    <t>2026-06-09</t>
  </si>
  <si>
    <t>OUT1002</t>
  </si>
  <si>
    <t>2026-06-23</t>
  </si>
  <si>
    <t>OUT1046</t>
  </si>
  <si>
    <t>Annai General Store</t>
  </si>
  <si>
    <t>2026-06-18</t>
  </si>
  <si>
    <t>OUT1015</t>
  </si>
  <si>
    <t>Annai Supermarket</t>
  </si>
  <si>
    <t>24-06-2026</t>
  </si>
  <si>
    <t>OUT1041</t>
  </si>
  <si>
    <t>04/06/2026</t>
  </si>
  <si>
    <t>OUT1008</t>
  </si>
  <si>
    <t>Sri Provision Store</t>
  </si>
  <si>
    <t>15-06-2026</t>
  </si>
  <si>
    <t>Trichy Central Distributor</t>
  </si>
  <si>
    <t>OUT1004</t>
  </si>
  <si>
    <t>2026-07-20</t>
  </si>
  <si>
    <t>OUT1073</t>
  </si>
  <si>
    <t>New Supermarket</t>
  </si>
  <si>
    <t>05-06-2026</t>
  </si>
  <si>
    <t>OUT1006</t>
  </si>
  <si>
    <t>Shree Provision Store</t>
  </si>
  <si>
    <t>02-07-2026</t>
  </si>
  <si>
    <t>OUT1075</t>
  </si>
  <si>
    <t>Annai Provision Store</t>
  </si>
  <si>
    <t>22-06-2026</t>
  </si>
  <si>
    <t>OUT1035</t>
  </si>
  <si>
    <t>Sathya Mart</t>
  </si>
  <si>
    <t>04-06-2026</t>
  </si>
  <si>
    <t xml:space="preserve">Coimbatore Agro Traders </t>
  </si>
  <si>
    <t>OUT1031</t>
  </si>
  <si>
    <t>Amman General Store</t>
  </si>
  <si>
    <t>23/07/2026</t>
  </si>
  <si>
    <t>OUT1085</t>
  </si>
  <si>
    <t>Sathya General Store</t>
  </si>
  <si>
    <t>26-06-2026</t>
  </si>
  <si>
    <t>Madurai Retail Hub</t>
  </si>
  <si>
    <t>OUT1018</t>
  </si>
  <si>
    <t>Shree Stores</t>
  </si>
  <si>
    <t>2026-06-15</t>
  </si>
  <si>
    <t>OUT1025</t>
  </si>
  <si>
    <t>Kaveri Stores</t>
  </si>
  <si>
    <t>21/07/2026</t>
  </si>
  <si>
    <t>OUT1082</t>
  </si>
  <si>
    <t>Balaji Stores</t>
  </si>
  <si>
    <t>2026-07-11</t>
  </si>
  <si>
    <t>OUT1070</t>
  </si>
  <si>
    <t>New General Store</t>
  </si>
  <si>
    <t>19/07/2026</t>
  </si>
  <si>
    <t>TRICHY CENTRAL DISTRIBUTORS</t>
  </si>
  <si>
    <t>2026-06-01</t>
  </si>
  <si>
    <t>Madurai retail hub</t>
  </si>
  <si>
    <t>OUT1067</t>
  </si>
  <si>
    <t>Kaveri General Store</t>
  </si>
  <si>
    <t>2026-07-24</t>
  </si>
  <si>
    <t>OUT1098</t>
  </si>
  <si>
    <t>Annai Mart</t>
  </si>
  <si>
    <t>08-07-2026</t>
  </si>
  <si>
    <t>OUT1068</t>
  </si>
  <si>
    <t>Sri Stores</t>
  </si>
  <si>
    <t>10-07-2026</t>
  </si>
  <si>
    <t>Salem Fresh Foods</t>
  </si>
  <si>
    <t>OUT1087</t>
  </si>
  <si>
    <t>30-06-2026</t>
  </si>
  <si>
    <t>27/06/2026</t>
  </si>
  <si>
    <t>08/07/2026</t>
  </si>
  <si>
    <t>OUT1092</t>
  </si>
  <si>
    <t>20-06-2026</t>
  </si>
  <si>
    <t>OUT1051</t>
  </si>
  <si>
    <t>Kaveri Supermarket</t>
  </si>
  <si>
    <t>12-06-2026</t>
  </si>
  <si>
    <t>OUT1019</t>
  </si>
  <si>
    <t>Shree Supermarket</t>
  </si>
  <si>
    <t>06-07-2026</t>
  </si>
  <si>
    <t>12/06/2026</t>
  </si>
  <si>
    <t>OUT1069</t>
  </si>
  <si>
    <t>2026-07-28</t>
  </si>
  <si>
    <t>OUT1059</t>
  </si>
  <si>
    <t>Balaji Mart</t>
  </si>
  <si>
    <t>28-07-2026</t>
  </si>
  <si>
    <t>Chennai South Distribution</t>
  </si>
  <si>
    <t>OUT1103</t>
  </si>
  <si>
    <t>10/07/2026</t>
  </si>
  <si>
    <t>OUT1080</t>
  </si>
  <si>
    <t>07/07/2026</t>
  </si>
  <si>
    <t>OUT1072</t>
  </si>
  <si>
    <t>22/06/2026</t>
  </si>
  <si>
    <t>24-07-2026</t>
  </si>
  <si>
    <t>OUT1057</t>
  </si>
  <si>
    <t>2026-07-04</t>
  </si>
  <si>
    <t>OUT1088</t>
  </si>
  <si>
    <t>Coldpressed Sesame Oil 1L</t>
  </si>
  <si>
    <t>OUT1007</t>
  </si>
  <si>
    <t>New Provision Store</t>
  </si>
  <si>
    <t>09-07-2026</t>
  </si>
  <si>
    <t>OUT1065</t>
  </si>
  <si>
    <t>25-06-2026</t>
  </si>
  <si>
    <t>OUT1026</t>
  </si>
  <si>
    <t>2026-07-25</t>
  </si>
  <si>
    <t>07-07-2026</t>
  </si>
  <si>
    <t>OUT1090</t>
  </si>
  <si>
    <t>Balaji Provision Store</t>
  </si>
  <si>
    <t>2026-07-13</t>
  </si>
  <si>
    <t>2026-06-22</t>
  </si>
  <si>
    <t>OUT1023</t>
  </si>
  <si>
    <t>Balaji General Store</t>
  </si>
  <si>
    <t>26-07-2026</t>
  </si>
  <si>
    <t>OUT1097</t>
  </si>
  <si>
    <t>2026-07-10</t>
  </si>
  <si>
    <t>OUT1083</t>
  </si>
  <si>
    <t>OUT1028</t>
  </si>
  <si>
    <t>19/06/2026</t>
  </si>
  <si>
    <t>07/06/2026</t>
  </si>
  <si>
    <t>OUT1036</t>
  </si>
  <si>
    <t>13/06/2026</t>
  </si>
  <si>
    <t>OUT1013</t>
  </si>
  <si>
    <t>2026-07-31</t>
  </si>
  <si>
    <t>OUT1058</t>
  </si>
  <si>
    <t>24/06/2026</t>
  </si>
  <si>
    <t>OUT1052</t>
  </si>
  <si>
    <t>Sathya Stores</t>
  </si>
  <si>
    <t>23/06/2026</t>
  </si>
  <si>
    <t>OUT1034</t>
  </si>
  <si>
    <t>18-07-2026</t>
  </si>
  <si>
    <t>2026-06-03</t>
  </si>
  <si>
    <t>11-07-2026</t>
  </si>
  <si>
    <t>OUT1086</t>
  </si>
  <si>
    <t>OUT1011</t>
  </si>
  <si>
    <t>18/07/2026</t>
  </si>
  <si>
    <t>OUT1091</t>
  </si>
  <si>
    <t>02/07/2026</t>
  </si>
  <si>
    <t>OUT1079</t>
  </si>
  <si>
    <t>2026-07-08</t>
  </si>
  <si>
    <t>11-06-2026</t>
  </si>
  <si>
    <t>OUT1102</t>
  </si>
  <si>
    <t>29-07-2026</t>
  </si>
  <si>
    <t>OUT1017</t>
  </si>
  <si>
    <t>Sri Supermarket</t>
  </si>
  <si>
    <t>29/06/2026</t>
  </si>
  <si>
    <t>OUT1033</t>
  </si>
  <si>
    <t>08/06/2026</t>
  </si>
  <si>
    <t>OUT1045</t>
  </si>
  <si>
    <t>2026-07-17</t>
  </si>
  <si>
    <t>31/07/2026</t>
  </si>
  <si>
    <t>31-07-2026</t>
  </si>
  <si>
    <t>OUT1063</t>
  </si>
  <si>
    <t>2026-07-02</t>
  </si>
  <si>
    <t>2026-06-05</t>
  </si>
  <si>
    <t>OUT1050</t>
  </si>
  <si>
    <t>30/07/2026</t>
  </si>
  <si>
    <t>26/06/2026</t>
  </si>
  <si>
    <t>OUT1009</t>
  </si>
  <si>
    <t>28/06/2026</t>
  </si>
  <si>
    <t>OUT1030</t>
  </si>
  <si>
    <t>15/06/2026</t>
  </si>
  <si>
    <t>OUT1027</t>
  </si>
  <si>
    <t>2026-07-05</t>
  </si>
  <si>
    <t>2026-07-03</t>
  </si>
  <si>
    <t>OUT1062</t>
  </si>
  <si>
    <t>2026-07-15</t>
  </si>
  <si>
    <t>25-07-2026</t>
  </si>
  <si>
    <t>OUT1071</t>
  </si>
  <si>
    <t>Annai Stores</t>
  </si>
  <si>
    <t>2026-06-14</t>
  </si>
  <si>
    <t>OUT1044</t>
  </si>
  <si>
    <t>OUT1003</t>
  </si>
  <si>
    <t>2026-06-08</t>
  </si>
  <si>
    <t>2026-07-22</t>
  </si>
  <si>
    <t>05/06/2026</t>
  </si>
  <si>
    <t>OUT1064</t>
  </si>
  <si>
    <t>25/07/2026</t>
  </si>
  <si>
    <t>10-06-2026</t>
  </si>
  <si>
    <t>2026-06-11</t>
  </si>
  <si>
    <t>22-07-2026</t>
  </si>
  <si>
    <t>01-06-2026</t>
  </si>
  <si>
    <t>OUT1014</t>
  </si>
  <si>
    <t>Amman Supermarket</t>
  </si>
  <si>
    <t>2026-06-16</t>
  </si>
  <si>
    <t>15/07/2026</t>
  </si>
  <si>
    <t>OUT1077</t>
  </si>
  <si>
    <t>Kaveri Mart</t>
  </si>
  <si>
    <t>OUT1099</t>
  </si>
  <si>
    <t>OUT1081</t>
  </si>
  <si>
    <t>Amman Mart</t>
  </si>
  <si>
    <t>OUT1076</t>
  </si>
  <si>
    <t>Shree Mart</t>
  </si>
  <si>
    <t>20/07/2026</t>
  </si>
  <si>
    <t>06-06-2026</t>
  </si>
  <si>
    <t>OUT1049</t>
  </si>
  <si>
    <t>16/07/2026</t>
  </si>
  <si>
    <t>OUT1104</t>
  </si>
  <si>
    <t>29-06-2026</t>
  </si>
  <si>
    <t>OUT1016</t>
  </si>
  <si>
    <t>14/07/2026</t>
  </si>
  <si>
    <t>OUT1101</t>
  </si>
  <si>
    <t>12/07/2026</t>
  </si>
  <si>
    <t>OUT1095</t>
  </si>
  <si>
    <t>09/06/2026</t>
  </si>
  <si>
    <t>04/07/2026</t>
  </si>
  <si>
    <t>OUT1038</t>
  </si>
  <si>
    <t>2026-07-14</t>
  </si>
  <si>
    <t>2026-07-06</t>
  </si>
  <si>
    <t>2026-07-30</t>
  </si>
  <si>
    <t>26/07/2026</t>
  </si>
  <si>
    <t>OUT1055</t>
  </si>
  <si>
    <t>02/06/2026</t>
  </si>
  <si>
    <t>2026-06-06</t>
  </si>
  <si>
    <t>20/06/2026</t>
  </si>
  <si>
    <t>21-07-2026</t>
  </si>
  <si>
    <t>2026-07-12</t>
  </si>
  <si>
    <t>20-07-2026</t>
  </si>
  <si>
    <t>OUT1096</t>
  </si>
  <si>
    <t>OUT1020</t>
  </si>
  <si>
    <t>2026-06-20</t>
  </si>
  <si>
    <t>OUT1012</t>
  </si>
  <si>
    <t>25/06/2026</t>
  </si>
  <si>
    <t>2026-06-21</t>
  </si>
  <si>
    <t>OUT1010</t>
  </si>
  <si>
    <t>19-06-2026</t>
  </si>
  <si>
    <t>OUT1037</t>
  </si>
  <si>
    <t>13/07/2026</t>
  </si>
  <si>
    <t>10/06/2026</t>
  </si>
  <si>
    <t>OUT1022</t>
  </si>
  <si>
    <t>OUT1005</t>
  </si>
  <si>
    <t>2026-07-16</t>
  </si>
  <si>
    <t>OUT1093</t>
  </si>
  <si>
    <t>12-07-2026</t>
  </si>
  <si>
    <t>05-07-2026</t>
  </si>
  <si>
    <t>09/07/2026</t>
  </si>
  <si>
    <t>OUT1054</t>
  </si>
  <si>
    <t>2026-06-29</t>
  </si>
  <si>
    <t>2026-06-25</t>
  </si>
  <si>
    <t>09-06-2026</t>
  </si>
  <si>
    <t>30-07-2026</t>
  </si>
  <si>
    <t>13-06-2026</t>
  </si>
  <si>
    <t>OUT1021</t>
  </si>
  <si>
    <t>30/06/2026</t>
  </si>
  <si>
    <t>OUT1047</t>
  </si>
  <si>
    <t>OUT1048</t>
  </si>
  <si>
    <t>OUT1100</t>
  </si>
  <si>
    <t>OUT1001</t>
  </si>
  <si>
    <t>New Stores</t>
  </si>
  <si>
    <t>OUT1074</t>
  </si>
  <si>
    <t>2026-07-29</t>
  </si>
  <si>
    <t>01/06/2026</t>
  </si>
  <si>
    <t>17-07-2026</t>
  </si>
  <si>
    <t>24/07/2026</t>
  </si>
  <si>
    <t>21-06-2026</t>
  </si>
  <si>
    <t>OUT1078</t>
  </si>
  <si>
    <t>OUT1094</t>
  </si>
  <si>
    <t>2026-06-07</t>
  </si>
  <si>
    <t>06/06/2026</t>
  </si>
  <si>
    <t>27-07-2026</t>
  </si>
  <si>
    <t>2026-06-02</t>
  </si>
  <si>
    <t>2026-06-04</t>
  </si>
  <si>
    <t>08-06-2026</t>
  </si>
  <si>
    <t>OUT1089</t>
  </si>
  <si>
    <t>OUT1024</t>
  </si>
  <si>
    <t>02-06-2026</t>
  </si>
  <si>
    <t>15-07-2026</t>
  </si>
  <si>
    <t>16/06/2026</t>
  </si>
  <si>
    <t>2026-06-28</t>
  </si>
  <si>
    <t>2026-07-26</t>
  </si>
  <si>
    <t>OUT1060</t>
  </si>
  <si>
    <t>2026-07-23</t>
  </si>
  <si>
    <t>2026-06-30</t>
  </si>
  <si>
    <t>28/07/2026</t>
  </si>
  <si>
    <t>27-06-2026</t>
  </si>
  <si>
    <t>OUT1040</t>
  </si>
  <si>
    <t>2026-07-09</t>
  </si>
  <si>
    <t>2026-06-26</t>
  </si>
  <si>
    <t>Date_Clean</t>
  </si>
  <si>
    <t>Distributer</t>
  </si>
  <si>
    <t>Distributor_Clean</t>
  </si>
  <si>
    <t>Data_Flag</t>
  </si>
  <si>
    <t xml:space="preserve"> Qty_Sold &amp; Sales_Value in only those 5 rows  are missing, mark with YELLOW</t>
  </si>
  <si>
    <t>Issue</t>
  </si>
  <si>
    <t>Column</t>
  </si>
  <si>
    <t>Rows affected</t>
  </si>
  <si>
    <t>Action taken</t>
  </si>
  <si>
    <t>Reasoning / Assumption</t>
  </si>
  <si>
    <t>Distributor name variants (spelling, case, extra spaces)</t>
  </si>
  <si>
    <t>14 variants → 5 names</t>
  </si>
  <si>
    <t>PROPER + TRIM, then Find &amp; Replace on the spelling variants</t>
  </si>
  <si>
    <t>Variants clearly refer to the same 5 distributors</t>
  </si>
  <si>
    <t>Mixed date formats (yyyy-mm-dd, dd-mm-yyyy, dd/mm/yyyy)</t>
  </si>
  <si>
    <t>All 320</t>
  </si>
  <si>
    <t>Standardised into Date_Clean as real dates (DD-MM-YYYY)</t>
  </si>
  <si>
    <t>Read as day-first, since dates like 27/07/2026 rule out month-first</t>
  </si>
  <si>
    <t>SKU naming inconsistency ("Coldpressed" vs "Cold Pressed")</t>
  </si>
  <si>
    <t>Standardised to "Cold Pressed Sesame Oil 1L"</t>
  </si>
  <si>
    <t>Same product and same price range</t>
  </si>
  <si>
    <t>Duplicate rows</t>
  </si>
  <si>
    <t>All fields</t>
  </si>
  <si>
    <t>10 removed (320 → 310)</t>
  </si>
  <si>
    <t>Remove Duplicates on all cleaned fields, first occurrence kept</t>
  </si>
  <si>
    <t>Duplicate = every field identical after cleaning</t>
  </si>
  <si>
    <t>Missing Qty_Sold and Sales_Value</t>
  </si>
  <si>
    <t>Qty_Sold, Sales_Value</t>
  </si>
  <si>
    <t>Flagged in Data_Flag, highlighted, left blank</t>
  </si>
  <si>
    <t>Qty is unrecoverable, so sales can't be recalculated; excluded from sales totals</t>
  </si>
  <si>
    <t>Outlet_Name not unique</t>
  </si>
  <si>
    <t>n/a</t>
  </si>
  <si>
    <t>No change; use Outlet_ID for outlet counts</t>
  </si>
  <si>
    <t>104 outlet IDs vs 39 names</t>
  </si>
  <si>
    <t>No transactions on 1 July</t>
  </si>
  <si>
    <t>Flagged, not altered</t>
  </si>
  <si>
    <t>Gap is in the original data; to be checked with the distributor</t>
  </si>
  <si>
    <t>STEPS TAKEN TO CLEAN THE RAW DATA</t>
  </si>
  <si>
    <t>IMPORTANT TO NOTE</t>
  </si>
  <si>
    <r>
      <rPr>
        <b/>
        <sz val="12"/>
        <color theme="1"/>
        <rFont val="Calibri"/>
        <family val="2"/>
        <scheme val="minor"/>
      </rPr>
      <t>Final dataset:</t>
    </r>
    <r>
      <rPr>
        <sz val="12"/>
        <color theme="1"/>
        <rFont val="Calibri"/>
        <family val="2"/>
        <scheme val="minor"/>
      </rPr>
      <t xml:space="preserve"> 310 rows (320 raw − 10 duplicates); 5 rows have blank Sales_Value.</t>
    </r>
  </si>
  <si>
    <t>Row Labels</t>
  </si>
  <si>
    <t>Grand Total</t>
  </si>
  <si>
    <t>Column Labels</t>
  </si>
  <si>
    <t>Jun</t>
  </si>
  <si>
    <t>Jul</t>
  </si>
  <si>
    <t>Sum of Sales_Value</t>
  </si>
  <si>
    <t>Change</t>
  </si>
  <si>
    <t>MoM%</t>
  </si>
  <si>
    <t>Ranked By June</t>
  </si>
  <si>
    <t>Ranked By July</t>
  </si>
  <si>
    <t>Green - Top 3   Red - Bottom 3</t>
  </si>
  <si>
    <t>Distinct Count of Outlet_ID</t>
  </si>
  <si>
    <t>FORMULA;  Change  =  July-June and MoM%  = Change/June</t>
  </si>
  <si>
    <t>Gramiyaa Secondary Sales Dashboard: June vs July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</si>
</sst>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color theme="1"/>
      <name val="Calibri"/>
      <family val="2"/>
      <scheme val="minor"/>
    </font>
    <font>
      <b/>
      <sz val="11"/>
      <color theme="1"/>
      <name val="Calibri"/>
      <family val="2"/>
      <scheme val="minor"/>
    </font>
    <font>
      <b/>
      <sz val="12"/>
      <color theme="1"/>
      <name val="Calibri"/>
      <family val="2"/>
      <scheme val="minor"/>
    </font>
    <font>
      <sz val="11"/>
      <color rgb="FF000000"/>
      <name val="Calibri"/>
      <family val="2"/>
      <scheme val="minor"/>
    </font>
    <font>
      <b/>
      <sz val="10"/>
      <color theme="0"/>
      <name val="Arial Unicode MS"/>
    </font>
    <font>
      <b/>
      <sz val="16"/>
      <color theme="1"/>
      <name val="Calibri"/>
      <family val="2"/>
      <scheme val="minor"/>
    </font>
    <font>
      <b/>
      <sz val="20"/>
      <color theme="1"/>
      <name val="Calibri"/>
      <family val="2"/>
      <scheme val="minor"/>
    </font>
    <font>
      <sz val="12"/>
      <color theme="1"/>
      <name val="Calibri"/>
      <family val="2"/>
      <scheme val="minor"/>
    </font>
    <font>
      <b/>
      <sz val="12"/>
      <color rgb="FF000000"/>
      <name val="Calibri"/>
      <family val="2"/>
      <scheme val="minor"/>
    </font>
    <font>
      <b/>
      <sz val="11"/>
      <color rgb="FF000000"/>
      <name val="Calibri"/>
      <family val="2"/>
      <scheme val="minor"/>
    </font>
    <font>
      <b/>
      <sz val="18"/>
      <color theme="1"/>
      <name val="Amasis MT Pro Black"/>
      <family val="1"/>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rgb="FF92D050"/>
        <bgColor indexed="64"/>
      </patternFill>
    </fill>
    <fill>
      <patternFill patternType="solid">
        <fgColor theme="5"/>
        <bgColor indexed="64"/>
      </patternFill>
    </fill>
    <fill>
      <patternFill patternType="solid">
        <fgColor theme="6"/>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6">
    <xf numFmtId="0" fontId="0" fillId="0" borderId="0" xfId="0"/>
    <xf numFmtId="0" fontId="2" fillId="0" borderId="0" xfId="0" applyFont="1" applyAlignment="1">
      <alignment horizontal="center"/>
    </xf>
    <xf numFmtId="0" fontId="2" fillId="0" borderId="0" xfId="0" applyFont="1" applyAlignment="1">
      <alignment horizontal="left"/>
    </xf>
    <xf numFmtId="0" fontId="0" fillId="0" borderId="0" xfId="0" applyAlignment="1">
      <alignment horizontal="left"/>
    </xf>
    <xf numFmtId="0" fontId="0" fillId="2" borderId="0" xfId="0" applyFill="1" applyAlignment="1">
      <alignment horizontal="left"/>
    </xf>
    <xf numFmtId="0" fontId="2" fillId="0" borderId="0" xfId="0" applyFont="1"/>
    <xf numFmtId="14" fontId="0" fillId="0" borderId="0" xfId="0" applyNumberFormat="1"/>
    <xf numFmtId="0" fontId="5" fillId="5" borderId="1" xfId="0" applyFont="1" applyFill="1" applyBorder="1" applyAlignment="1">
      <alignment horizontal="center" vertical="center" wrapText="1"/>
    </xf>
    <xf numFmtId="0" fontId="0" fillId="0" borderId="1" xfId="0" applyBorder="1" applyAlignment="1">
      <alignment horizontal="left" vertical="center" wrapText="1"/>
    </xf>
    <xf numFmtId="0" fontId="1" fillId="0" borderId="0" xfId="0" applyFont="1" applyAlignment="1">
      <alignment horizontal="center"/>
    </xf>
    <xf numFmtId="0" fontId="0" fillId="0" borderId="0" xfId="0" pivotButton="1"/>
    <xf numFmtId="0" fontId="0" fillId="0" borderId="1" xfId="0" applyBorder="1" applyAlignment="1">
      <alignment horizontal="center" vertical="center"/>
    </xf>
    <xf numFmtId="0" fontId="0" fillId="0" borderId="1" xfId="0" applyBorder="1" applyAlignment="1">
      <alignment horizontal="center"/>
    </xf>
    <xf numFmtId="0" fontId="2" fillId="0" borderId="1" xfId="0" applyFont="1" applyBorder="1" applyAlignment="1">
      <alignment horizontal="center" vertical="center"/>
    </xf>
    <xf numFmtId="164" fontId="0" fillId="0" borderId="1" xfId="0" applyNumberFormat="1" applyBorder="1" applyAlignment="1">
      <alignment horizontal="center" vertical="center"/>
    </xf>
    <xf numFmtId="164" fontId="0" fillId="0" borderId="1" xfId="0" applyNumberFormat="1" applyBorder="1" applyAlignment="1">
      <alignment horizontal="center"/>
    </xf>
    <xf numFmtId="0" fontId="8" fillId="2" borderId="1" xfId="0" applyFont="1" applyFill="1" applyBorder="1" applyAlignment="1">
      <alignment horizontal="left"/>
    </xf>
    <xf numFmtId="0" fontId="1" fillId="0" borderId="1" xfId="0" applyFont="1" applyBorder="1" applyAlignment="1">
      <alignment horizontal="center"/>
    </xf>
    <xf numFmtId="0" fontId="9" fillId="0" borderId="1" xfId="0" applyFont="1" applyBorder="1" applyAlignment="1">
      <alignment horizontal="center"/>
    </xf>
    <xf numFmtId="0" fontId="0" fillId="0" borderId="0" xfId="0" applyAlignment="1">
      <alignment horizontal="center"/>
    </xf>
    <xf numFmtId="0" fontId="9" fillId="0" borderId="0" xfId="0" applyFont="1" applyAlignment="1">
      <alignment horizontal="center"/>
    </xf>
    <xf numFmtId="0" fontId="3" fillId="0" borderId="0" xfId="0" applyFont="1"/>
    <xf numFmtId="0" fontId="0" fillId="6" borderId="1" xfId="0" applyFill="1" applyBorder="1"/>
    <xf numFmtId="0" fontId="0" fillId="7" borderId="1" xfId="0" applyFill="1" applyBorder="1"/>
    <xf numFmtId="0" fontId="2" fillId="3" borderId="0" xfId="0" applyFont="1" applyFill="1"/>
    <xf numFmtId="14" fontId="0" fillId="0" borderId="0" xfId="0" applyNumberFormat="1" applyAlignment="1">
      <alignment horizontal="left"/>
    </xf>
    <xf numFmtId="0" fontId="4" fillId="3" borderId="0" xfId="0" applyFont="1" applyFill="1" applyAlignment="1">
      <alignment horizontal="left"/>
    </xf>
    <xf numFmtId="0" fontId="4" fillId="4" borderId="0" xfId="0" applyFont="1" applyFill="1" applyAlignment="1">
      <alignment horizontal="left"/>
    </xf>
    <xf numFmtId="164" fontId="0" fillId="0" borderId="0" xfId="0" applyNumberFormat="1" applyAlignment="1">
      <alignment horizontal="center"/>
    </xf>
    <xf numFmtId="0" fontId="3" fillId="0" borderId="1" xfId="0" applyFont="1" applyBorder="1" applyAlignment="1">
      <alignment horizontal="center" vertical="center"/>
    </xf>
    <xf numFmtId="0" fontId="6" fillId="2" borderId="3" xfId="0" applyFont="1" applyFill="1" applyBorder="1" applyAlignment="1">
      <alignment horizontal="center"/>
    </xf>
    <xf numFmtId="0" fontId="6" fillId="2" borderId="4" xfId="0" applyFont="1" applyFill="1" applyBorder="1" applyAlignment="1">
      <alignment horizontal="center"/>
    </xf>
    <xf numFmtId="0" fontId="6" fillId="2" borderId="5" xfId="0" applyFont="1" applyFill="1" applyBorder="1" applyAlignment="1">
      <alignment horizontal="center"/>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1" fillId="0" borderId="2" xfId="0" applyFont="1" applyBorder="1" applyAlignment="1">
      <alignment horizontal="center"/>
    </xf>
    <xf numFmtId="0" fontId="1" fillId="0" borderId="0" xfId="0" applyFont="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5" xfId="0" applyFont="1" applyFill="1" applyBorder="1" applyAlignment="1">
      <alignment horizontal="center"/>
    </xf>
    <xf numFmtId="0" fontId="10" fillId="0" borderId="1" xfId="0" applyFont="1" applyBorder="1" applyAlignment="1">
      <alignment horizontal="center" vertical="center"/>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[gramiyaa_retail_sales_jun_jul_2026.xlsx]Pivot Tables!Sales value by distributor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by Distributor: June vs July</a:t>
            </a: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Jun</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Tables'!$A$5:$A$10</c:f>
              <c:strCache>
                <c:ptCount val="5"/>
                <c:pt idx="0">
                  <c:v>Chennai South Distribution</c:v>
                </c:pt>
                <c:pt idx="1">
                  <c:v>Coimbatore Agro Traders</c:v>
                </c:pt>
                <c:pt idx="2">
                  <c:v>Madurai Retail Hub</c:v>
                </c:pt>
                <c:pt idx="3">
                  <c:v>Salem Fresh Foods</c:v>
                </c:pt>
                <c:pt idx="4">
                  <c:v>Trichy Central Distributors</c:v>
                </c:pt>
              </c:strCache>
            </c:strRef>
          </c:cat>
          <c:val>
            <c:numRef>
              <c:f>'Pivot Tables'!$B$5:$B$10</c:f>
              <c:numCache>
                <c:formatCode>General</c:formatCode>
                <c:ptCount val="5"/>
                <c:pt idx="0">
                  <c:v>169048</c:v>
                </c:pt>
                <c:pt idx="1">
                  <c:v>212505</c:v>
                </c:pt>
                <c:pt idx="2">
                  <c:v>120583</c:v>
                </c:pt>
                <c:pt idx="3">
                  <c:v>139078</c:v>
                </c:pt>
                <c:pt idx="4">
                  <c:v>201019</c:v>
                </c:pt>
              </c:numCache>
            </c:numRef>
          </c:val>
          <c:extLst>
            <c:ext xmlns:c16="http://schemas.microsoft.com/office/drawing/2014/chart" uri="{C3380CC4-5D6E-409C-BE32-E72D297353CC}">
              <c16:uniqueId val="{00000000-43C4-44AC-B15B-E0CDB2EBE853}"/>
            </c:ext>
          </c:extLst>
        </c:ser>
        <c:ser>
          <c:idx val="1"/>
          <c:order val="1"/>
          <c:tx>
            <c:strRef>
              <c:f>'Pivot Tables'!$C$3:$C$4</c:f>
              <c:strCache>
                <c:ptCount val="1"/>
                <c:pt idx="0">
                  <c:v>Jul</c:v>
                </c:pt>
              </c:strCache>
            </c:strRef>
          </c:tx>
          <c:spPr>
            <a:solidFill>
              <a:schemeClr val="accent2"/>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Tables'!$A$5:$A$10</c:f>
              <c:strCache>
                <c:ptCount val="5"/>
                <c:pt idx="0">
                  <c:v>Chennai South Distribution</c:v>
                </c:pt>
                <c:pt idx="1">
                  <c:v>Coimbatore Agro Traders</c:v>
                </c:pt>
                <c:pt idx="2">
                  <c:v>Madurai Retail Hub</c:v>
                </c:pt>
                <c:pt idx="3">
                  <c:v>Salem Fresh Foods</c:v>
                </c:pt>
                <c:pt idx="4">
                  <c:v>Trichy Central Distributors</c:v>
                </c:pt>
              </c:strCache>
            </c:strRef>
          </c:cat>
          <c:val>
            <c:numRef>
              <c:f>'Pivot Tables'!$C$5:$C$10</c:f>
              <c:numCache>
                <c:formatCode>General</c:formatCode>
                <c:ptCount val="5"/>
                <c:pt idx="0">
                  <c:v>206204</c:v>
                </c:pt>
                <c:pt idx="1">
                  <c:v>211424</c:v>
                </c:pt>
                <c:pt idx="2">
                  <c:v>207986</c:v>
                </c:pt>
                <c:pt idx="3">
                  <c:v>206928</c:v>
                </c:pt>
                <c:pt idx="4">
                  <c:v>125043</c:v>
                </c:pt>
              </c:numCache>
            </c:numRef>
          </c:val>
          <c:extLst>
            <c:ext xmlns:c16="http://schemas.microsoft.com/office/drawing/2014/chart" uri="{C3380CC4-5D6E-409C-BE32-E72D297353CC}">
              <c16:uniqueId val="{00000004-43C4-44AC-B15B-E0CDB2EBE853}"/>
            </c:ext>
          </c:extLst>
        </c:ser>
        <c:dLbls>
          <c:dLblPos val="outEnd"/>
          <c:showLegendKey val="0"/>
          <c:showVal val="1"/>
          <c:showCatName val="0"/>
          <c:showSerName val="0"/>
          <c:showPercent val="0"/>
          <c:showBubbleSize val="0"/>
        </c:dLbls>
        <c:gapWidth val="219"/>
        <c:overlap val="-27"/>
        <c:axId val="1943681088"/>
        <c:axId val="1655587984"/>
      </c:barChart>
      <c:catAx>
        <c:axId val="19436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5587984"/>
        <c:crosses val="autoZero"/>
        <c:auto val="1"/>
        <c:lblAlgn val="ctr"/>
        <c:lblOffset val="100"/>
        <c:noMultiLvlLbl val="0"/>
      </c:catAx>
      <c:valAx>
        <c:axId val="1655587984"/>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681088"/>
        <c:crosses val="autoZero"/>
        <c:crossBetween val="between"/>
      </c:valAx>
      <c:spPr>
        <a:noFill/>
        <a:ln>
          <a:noFill/>
        </a:ln>
        <a:effectLst/>
      </c:spPr>
    </c:plotArea>
    <c:legend>
      <c:legendPos val="r"/>
      <c:layout>
        <c:manualLayout>
          <c:xMode val="edge"/>
          <c:yMode val="edge"/>
          <c:x val="0.69790074987144712"/>
          <c:y val="3.9618468971655336E-2"/>
          <c:w val="0.23091385860889951"/>
          <c:h val="0.1485019389877303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alpha val="96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[gramiyaa_retail_sales_jun_jul_2026.xlsx]Pivot Tables!Sales by SKU</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by SKU: June vs July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Tables'!$B$20:$B$21</c:f>
              <c:strCache>
                <c:ptCount val="1"/>
                <c:pt idx="0">
                  <c:v>Jun</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Tables'!$A$22:$A$28</c:f>
              <c:strCache>
                <c:ptCount val="6"/>
                <c:pt idx="0">
                  <c:v>A2 Bilona Ghee 500ml</c:v>
                </c:pt>
                <c:pt idx="1">
                  <c:v>Cold Pressed Coconut Oil 500ml</c:v>
                </c:pt>
                <c:pt idx="2">
                  <c:v>Cold Pressed Groundnut Oil 1L</c:v>
                </c:pt>
                <c:pt idx="3">
                  <c:v>Cold Pressed Sesame Oil 1L</c:v>
                </c:pt>
                <c:pt idx="4">
                  <c:v>Cold Pressed Sunflower Oil 1L</c:v>
                </c:pt>
                <c:pt idx="5">
                  <c:v>Wood Pressed Mustard Oil 1L</c:v>
                </c:pt>
              </c:strCache>
            </c:strRef>
          </c:cat>
          <c:val>
            <c:numRef>
              <c:f>'Pivot Tables'!$B$22:$B$28</c:f>
              <c:numCache>
                <c:formatCode>General</c:formatCode>
                <c:ptCount val="6"/>
                <c:pt idx="0">
                  <c:v>239472</c:v>
                </c:pt>
                <c:pt idx="1">
                  <c:v>108242</c:v>
                </c:pt>
                <c:pt idx="2">
                  <c:v>119036</c:v>
                </c:pt>
                <c:pt idx="3">
                  <c:v>111911</c:v>
                </c:pt>
                <c:pt idx="4">
                  <c:v>92931</c:v>
                </c:pt>
                <c:pt idx="5">
                  <c:v>170641</c:v>
                </c:pt>
              </c:numCache>
            </c:numRef>
          </c:val>
          <c:extLst>
            <c:ext xmlns:c16="http://schemas.microsoft.com/office/drawing/2014/chart" uri="{C3380CC4-5D6E-409C-BE32-E72D297353CC}">
              <c16:uniqueId val="{00000000-A15B-4DE3-9FA3-8F555C9308B9}"/>
            </c:ext>
          </c:extLst>
        </c:ser>
        <c:ser>
          <c:idx val="1"/>
          <c:order val="1"/>
          <c:tx>
            <c:strRef>
              <c:f>'Pivot Tables'!$C$20:$C$21</c:f>
              <c:strCache>
                <c:ptCount val="1"/>
                <c:pt idx="0">
                  <c:v>Jul</c:v>
                </c:pt>
              </c:strCache>
            </c:strRef>
          </c:tx>
          <c:spPr>
            <a:solidFill>
              <a:schemeClr val="accent2"/>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Tables'!$A$22:$A$28</c:f>
              <c:strCache>
                <c:ptCount val="6"/>
                <c:pt idx="0">
                  <c:v>A2 Bilona Ghee 500ml</c:v>
                </c:pt>
                <c:pt idx="1">
                  <c:v>Cold Pressed Coconut Oil 500ml</c:v>
                </c:pt>
                <c:pt idx="2">
                  <c:v>Cold Pressed Groundnut Oil 1L</c:v>
                </c:pt>
                <c:pt idx="3">
                  <c:v>Cold Pressed Sesame Oil 1L</c:v>
                </c:pt>
                <c:pt idx="4">
                  <c:v>Cold Pressed Sunflower Oil 1L</c:v>
                </c:pt>
                <c:pt idx="5">
                  <c:v>Wood Pressed Mustard Oil 1L</c:v>
                </c:pt>
              </c:strCache>
            </c:strRef>
          </c:cat>
          <c:val>
            <c:numRef>
              <c:f>'Pivot Tables'!$C$22:$C$28</c:f>
              <c:numCache>
                <c:formatCode>General</c:formatCode>
                <c:ptCount val="6"/>
                <c:pt idx="0">
                  <c:v>267718</c:v>
                </c:pt>
                <c:pt idx="1">
                  <c:v>81652</c:v>
                </c:pt>
                <c:pt idx="2">
                  <c:v>169503</c:v>
                </c:pt>
                <c:pt idx="3">
                  <c:v>145192</c:v>
                </c:pt>
                <c:pt idx="4">
                  <c:v>139282</c:v>
                </c:pt>
                <c:pt idx="5">
                  <c:v>154238</c:v>
                </c:pt>
              </c:numCache>
            </c:numRef>
          </c:val>
          <c:extLst>
            <c:ext xmlns:c16="http://schemas.microsoft.com/office/drawing/2014/chart" uri="{C3380CC4-5D6E-409C-BE32-E72D297353CC}">
              <c16:uniqueId val="{00000004-A15B-4DE3-9FA3-8F555C9308B9}"/>
            </c:ext>
          </c:extLst>
        </c:ser>
        <c:dLbls>
          <c:dLblPos val="outEnd"/>
          <c:showLegendKey val="0"/>
          <c:showVal val="1"/>
          <c:showCatName val="0"/>
          <c:showSerName val="0"/>
          <c:showPercent val="0"/>
          <c:showBubbleSize val="0"/>
        </c:dLbls>
        <c:gapWidth val="219"/>
        <c:overlap val="-27"/>
        <c:axId val="1943627728"/>
        <c:axId val="1586980208"/>
      </c:barChart>
      <c:catAx>
        <c:axId val="194362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980208"/>
        <c:crosses val="autoZero"/>
        <c:auto val="1"/>
        <c:lblAlgn val="ctr"/>
        <c:lblOffset val="100"/>
        <c:noMultiLvlLbl val="0"/>
      </c:catAx>
      <c:valAx>
        <c:axId val="1586980208"/>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627728"/>
        <c:crosses val="autoZero"/>
        <c:crossBetween val="between"/>
      </c:valAx>
      <c:spPr>
        <a:noFill/>
        <a:ln>
          <a:noFill/>
        </a:ln>
        <a:effectLst/>
      </c:spPr>
    </c:plotArea>
    <c:legend>
      <c:legendPos val="r"/>
      <c:layout>
        <c:manualLayout>
          <c:xMode val="edge"/>
          <c:yMode val="edge"/>
          <c:x val="0.74582936580601844"/>
          <c:y val="6.0882667444347206E-2"/>
          <c:w val="0.2309148202404932"/>
          <c:h val="0.1515549192714546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alpha val="96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[gramiyaa_retail_sales_jun_jul_2026.xlsx]Pivot Tables!Active outlets per distributor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Active Outlets by Distributor: June vs July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Tables'!$G$32:$G$34</c:f>
              <c:strCache>
                <c:ptCount val="1"/>
                <c:pt idx="0">
                  <c:v>Jun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Tables'!$F$35:$F$40</c:f>
              <c:strCache>
                <c:ptCount val="5"/>
                <c:pt idx="0">
                  <c:v>Chennai South Distribution</c:v>
                </c:pt>
                <c:pt idx="1">
                  <c:v>Coimbatore Agro Traders</c:v>
                </c:pt>
                <c:pt idx="2">
                  <c:v>Madurai Retail Hub</c:v>
                </c:pt>
                <c:pt idx="3">
                  <c:v>Salem Fresh Foods</c:v>
                </c:pt>
                <c:pt idx="4">
                  <c:v>Trichy Central Distributors</c:v>
                </c:pt>
              </c:strCache>
            </c:strRef>
          </c:cat>
          <c:val>
            <c:numRef>
              <c:f>'Pivot Tables'!$G$35:$G$40</c:f>
              <c:numCache>
                <c:formatCode>General</c:formatCode>
                <c:ptCount val="5"/>
                <c:pt idx="0">
                  <c:v>10</c:v>
                </c:pt>
                <c:pt idx="1">
                  <c:v>13</c:v>
                </c:pt>
                <c:pt idx="2">
                  <c:v>8</c:v>
                </c:pt>
                <c:pt idx="3">
                  <c:v>8</c:v>
                </c:pt>
                <c:pt idx="4">
                  <c:v>13</c:v>
                </c:pt>
              </c:numCache>
            </c:numRef>
          </c:val>
          <c:extLst>
            <c:ext xmlns:c16="http://schemas.microsoft.com/office/drawing/2014/chart" uri="{C3380CC4-5D6E-409C-BE32-E72D297353CC}">
              <c16:uniqueId val="{00000000-40D4-4BDC-A34A-9FEE1932F803}"/>
            </c:ext>
          </c:extLst>
        </c:ser>
        <c:ser>
          <c:idx val="1"/>
          <c:order val="1"/>
          <c:tx>
            <c:strRef>
              <c:f>'Pivot Tables'!$H$32:$H$34</c:f>
              <c:strCache>
                <c:ptCount val="1"/>
                <c:pt idx="0">
                  <c:v>Jul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Tables'!$F$35:$F$40</c:f>
              <c:strCache>
                <c:ptCount val="5"/>
                <c:pt idx="0">
                  <c:v>Chennai South Distribution</c:v>
                </c:pt>
                <c:pt idx="1">
                  <c:v>Coimbatore Agro Traders</c:v>
                </c:pt>
                <c:pt idx="2">
                  <c:v>Madurai Retail Hub</c:v>
                </c:pt>
                <c:pt idx="3">
                  <c:v>Salem Fresh Foods</c:v>
                </c:pt>
                <c:pt idx="4">
                  <c:v>Trichy Central Distributors</c:v>
                </c:pt>
              </c:strCache>
            </c:strRef>
          </c:cat>
          <c:val>
            <c:numRef>
              <c:f>'Pivot Tables'!$H$35:$H$40</c:f>
              <c:numCache>
                <c:formatCode>General</c:formatCode>
                <c:ptCount val="5"/>
                <c:pt idx="0">
                  <c:v>10</c:v>
                </c:pt>
                <c:pt idx="1">
                  <c:v>11</c:v>
                </c:pt>
                <c:pt idx="2">
                  <c:v>11</c:v>
                </c:pt>
                <c:pt idx="3">
                  <c:v>11</c:v>
                </c:pt>
                <c:pt idx="4">
                  <c:v>9</c:v>
                </c:pt>
              </c:numCache>
            </c:numRef>
          </c:val>
          <c:extLst>
            <c:ext xmlns:c16="http://schemas.microsoft.com/office/drawing/2014/chart" uri="{C3380CC4-5D6E-409C-BE32-E72D297353CC}">
              <c16:uniqueId val="{00000001-40D4-4BDC-A34A-9FEE1932F803}"/>
            </c:ext>
          </c:extLst>
        </c:ser>
        <c:dLbls>
          <c:dLblPos val="outEnd"/>
          <c:showLegendKey val="0"/>
          <c:showVal val="1"/>
          <c:showCatName val="0"/>
          <c:showSerName val="0"/>
          <c:showPercent val="0"/>
          <c:showBubbleSize val="0"/>
        </c:dLbls>
        <c:gapWidth val="219"/>
        <c:axId val="1799732272"/>
        <c:axId val="1587036368"/>
      </c:barChart>
      <c:catAx>
        <c:axId val="179973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87036368"/>
        <c:crosses val="autoZero"/>
        <c:auto val="1"/>
        <c:lblAlgn val="ctr"/>
        <c:lblOffset val="100"/>
        <c:noMultiLvlLbl val="0"/>
      </c:catAx>
      <c:valAx>
        <c:axId val="1587036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732272"/>
        <c:crosses val="autoZero"/>
        <c:crossBetween val="between"/>
      </c:valAx>
      <c:spPr>
        <a:noFill/>
        <a:ln>
          <a:noFill/>
        </a:ln>
        <a:effectLst/>
      </c:spPr>
    </c:plotArea>
    <c:legend>
      <c:legendPos val="r"/>
      <c:layout>
        <c:manualLayout>
          <c:xMode val="edge"/>
          <c:yMode val="edge"/>
          <c:x val="0.87587760103474099"/>
          <c:y val="0.13004577499484918"/>
          <c:w val="0.10731164007957218"/>
          <c:h val="0.3194870692357994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alpha val="96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[gramiyaa_retail_sales_jun_jul_2026.xlsx]Pivot Tables!Sales by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by Category: June vs July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Tables'!$B$13:$B$14</c:f>
              <c:strCache>
                <c:ptCount val="1"/>
                <c:pt idx="0">
                  <c:v>Jun</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Tables'!$A$15:$A$17</c:f>
              <c:strCache>
                <c:ptCount val="2"/>
                <c:pt idx="0">
                  <c:v>Ghee</c:v>
                </c:pt>
                <c:pt idx="1">
                  <c:v>Oils</c:v>
                </c:pt>
              </c:strCache>
            </c:strRef>
          </c:cat>
          <c:val>
            <c:numRef>
              <c:f>'Pivot Tables'!$B$15:$B$17</c:f>
              <c:numCache>
                <c:formatCode>General</c:formatCode>
                <c:ptCount val="2"/>
                <c:pt idx="0">
                  <c:v>239472</c:v>
                </c:pt>
                <c:pt idx="1">
                  <c:v>602761</c:v>
                </c:pt>
              </c:numCache>
            </c:numRef>
          </c:val>
          <c:extLst>
            <c:ext xmlns:c16="http://schemas.microsoft.com/office/drawing/2014/chart" uri="{C3380CC4-5D6E-409C-BE32-E72D297353CC}">
              <c16:uniqueId val="{00000000-3C03-461E-AF86-8D1C12B8D84C}"/>
            </c:ext>
          </c:extLst>
        </c:ser>
        <c:ser>
          <c:idx val="1"/>
          <c:order val="1"/>
          <c:tx>
            <c:strRef>
              <c:f>'Pivot Tables'!$C$13:$C$14</c:f>
              <c:strCache>
                <c:ptCount val="1"/>
                <c:pt idx="0">
                  <c:v>Jul</c:v>
                </c:pt>
              </c:strCache>
            </c:strRef>
          </c:tx>
          <c:spPr>
            <a:solidFill>
              <a:schemeClr val="accent2"/>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Tables'!$A$15:$A$17</c:f>
              <c:strCache>
                <c:ptCount val="2"/>
                <c:pt idx="0">
                  <c:v>Ghee</c:v>
                </c:pt>
                <c:pt idx="1">
                  <c:v>Oils</c:v>
                </c:pt>
              </c:strCache>
            </c:strRef>
          </c:cat>
          <c:val>
            <c:numRef>
              <c:f>'Pivot Tables'!$C$15:$C$17</c:f>
              <c:numCache>
                <c:formatCode>General</c:formatCode>
                <c:ptCount val="2"/>
                <c:pt idx="0">
                  <c:v>267718</c:v>
                </c:pt>
                <c:pt idx="1">
                  <c:v>689867</c:v>
                </c:pt>
              </c:numCache>
            </c:numRef>
          </c:val>
          <c:extLst>
            <c:ext xmlns:c16="http://schemas.microsoft.com/office/drawing/2014/chart" uri="{C3380CC4-5D6E-409C-BE32-E72D297353CC}">
              <c16:uniqueId val="{00000004-3C03-461E-AF86-8D1C12B8D84C}"/>
            </c:ext>
          </c:extLst>
        </c:ser>
        <c:dLbls>
          <c:dLblPos val="outEnd"/>
          <c:showLegendKey val="0"/>
          <c:showVal val="1"/>
          <c:showCatName val="0"/>
          <c:showSerName val="0"/>
          <c:showPercent val="0"/>
          <c:showBubbleSize val="0"/>
        </c:dLbls>
        <c:gapWidth val="219"/>
        <c:overlap val="-27"/>
        <c:axId val="1943687120"/>
        <c:axId val="1587022928"/>
      </c:barChart>
      <c:catAx>
        <c:axId val="194368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022928"/>
        <c:crosses val="autoZero"/>
        <c:auto val="1"/>
        <c:lblAlgn val="ctr"/>
        <c:lblOffset val="100"/>
        <c:noMultiLvlLbl val="0"/>
      </c:catAx>
      <c:valAx>
        <c:axId val="1587022928"/>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68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alpha val="96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190500</xdr:colOff>
      <xdr:row>14</xdr:row>
      <xdr:rowOff>76200</xdr:rowOff>
    </xdr:from>
    <xdr:to>
      <xdr:col>15</xdr:col>
      <xdr:colOff>106680</xdr:colOff>
      <xdr:row>26</xdr:row>
      <xdr:rowOff>83820</xdr:rowOff>
    </xdr:to>
    <xdr:graphicFrame macro="">
      <xdr:nvGraphicFramePr>
        <xdr:cNvPr id="2" name="Chart 1">
          <a:extLst>
            <a:ext uri="{FF2B5EF4-FFF2-40B4-BE49-F238E27FC236}">
              <a16:creationId xmlns:a16="http://schemas.microsoft.com/office/drawing/2014/main" id="{38F23106-84B0-48E2-80B8-8FE223B34B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144780</xdr:colOff>
      <xdr:row>1</xdr:row>
      <xdr:rowOff>91440</xdr:rowOff>
    </xdr:from>
    <xdr:to>
      <xdr:col>22</xdr:col>
      <xdr:colOff>601980</xdr:colOff>
      <xdr:row>13</xdr:row>
      <xdr:rowOff>160020</xdr:rowOff>
    </xdr:to>
    <xdr:graphicFrame macro="">
      <xdr:nvGraphicFramePr>
        <xdr:cNvPr id="3" name="Chart 2">
          <a:extLst>
            <a:ext uri="{FF2B5EF4-FFF2-40B4-BE49-F238E27FC236}">
              <a16:creationId xmlns:a16="http://schemas.microsoft.com/office/drawing/2014/main" id="{142DEACE-8109-4FD4-8CCD-1C397EAD0D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205740</xdr:colOff>
      <xdr:row>1</xdr:row>
      <xdr:rowOff>121920</xdr:rowOff>
    </xdr:from>
    <xdr:to>
      <xdr:col>12</xdr:col>
      <xdr:colOff>7620</xdr:colOff>
      <xdr:row>13</xdr:row>
      <xdr:rowOff>160020</xdr:rowOff>
    </xdr:to>
    <xdr:graphicFrame macro="">
      <xdr:nvGraphicFramePr>
        <xdr:cNvPr id="4" name="Chart 3">
          <a:extLst>
            <a:ext uri="{FF2B5EF4-FFF2-40B4-BE49-F238E27FC236}">
              <a16:creationId xmlns:a16="http://schemas.microsoft.com/office/drawing/2014/main" id="{2E88341B-F970-409B-A9F1-4BF9309E3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548640</xdr:colOff>
      <xdr:row>14</xdr:row>
      <xdr:rowOff>76200</xdr:rowOff>
    </xdr:from>
    <xdr:to>
      <xdr:col>22</xdr:col>
      <xdr:colOff>601980</xdr:colOff>
      <xdr:row>26</xdr:row>
      <xdr:rowOff>76200</xdr:rowOff>
    </xdr:to>
    <xdr:graphicFrame macro="">
      <xdr:nvGraphicFramePr>
        <xdr:cNvPr id="5" name="Chart 4">
          <a:extLst>
            <a:ext uri="{FF2B5EF4-FFF2-40B4-BE49-F238E27FC236}">
              <a16:creationId xmlns:a16="http://schemas.microsoft.com/office/drawing/2014/main" id="{7F845714-EEB8-43AD-95D3-0EE3A44C5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83820</xdr:colOff>
      <xdr:row>1</xdr:row>
      <xdr:rowOff>53341</xdr:rowOff>
    </xdr:from>
    <xdr:to>
      <xdr:col>3</xdr:col>
      <xdr:colOff>82470</xdr:colOff>
      <xdr:row>9</xdr:row>
      <xdr:rowOff>30301</xdr:rowOff>
    </xdr:to>
    <mc:AlternateContent xmlns:mc="http://schemas.openxmlformats.org/markup-compatibility/2006" xmlns:a14="http://schemas.microsoft.com/office/drawing/2010/main">
      <mc:Choice Requires="a14">
        <xdr:graphicFrame macro="">
          <xdr:nvGraphicFramePr>
            <xdr:cNvPr id="10" name="Distributor_Clean">
              <a:extLst>
                <a:ext uri="{FF2B5EF4-FFF2-40B4-BE49-F238E27FC236}">
                  <a16:creationId xmlns:a16="http://schemas.microsoft.com/office/drawing/2014/main" id="{BAC708B0-FCFF-C06B-8983-D480318CDF69}"/>
                </a:ext>
              </a:extLst>
            </xdr:cNvPr>
            <xdr:cNvGraphicFramePr/>
          </xdr:nvGraphicFramePr>
          <xdr:xfrm>
            <a:off x="0" y="0"/>
            <a:ext cx="0" cy="0"/>
          </xdr:xfrm>
          <a:graphic>
            <a:graphicData uri="http://schemas.microsoft.com/office/drawing/2010/slicer">
              <sle:slicer xmlns:sle="http://schemas.microsoft.com/office/drawing/2010/slicer" name="Distributor_Clean"/>
            </a:graphicData>
          </a:graphic>
        </xdr:graphicFrame>
      </mc:Choice>
      <mc:Fallback xmlns="">
        <xdr:sp macro="" textlink="">
          <xdr:nvSpPr>
            <xdr:cNvPr id="0" name=""/>
            <xdr:cNvSpPr>
              <a:spLocks noTextEdit="1"/>
            </xdr:cNvSpPr>
          </xdr:nvSpPr>
          <xdr:spPr>
            <a:xfrm>
              <a:off x="83820" y="350521"/>
              <a:ext cx="1827450" cy="14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19</xdr:row>
      <xdr:rowOff>83821</xdr:rowOff>
    </xdr:from>
    <xdr:to>
      <xdr:col>3</xdr:col>
      <xdr:colOff>61710</xdr:colOff>
      <xdr:row>26</xdr:row>
      <xdr:rowOff>38100</xdr:rowOff>
    </xdr:to>
    <mc:AlternateContent xmlns:mc="http://schemas.openxmlformats.org/markup-compatibility/2006" xmlns:a14="http://schemas.microsoft.com/office/drawing/2010/main">
      <mc:Choice Requires="a14">
        <xdr:graphicFrame macro="">
          <xdr:nvGraphicFramePr>
            <xdr:cNvPr id="11" name="Beat">
              <a:extLst>
                <a:ext uri="{FF2B5EF4-FFF2-40B4-BE49-F238E27FC236}">
                  <a16:creationId xmlns:a16="http://schemas.microsoft.com/office/drawing/2014/main" id="{8529A4F5-DD25-A58C-C19B-5BD9BEE5B7A9}"/>
                </a:ext>
              </a:extLst>
            </xdr:cNvPr>
            <xdr:cNvGraphicFramePr/>
          </xdr:nvGraphicFramePr>
          <xdr:xfrm>
            <a:off x="0" y="0"/>
            <a:ext cx="0" cy="0"/>
          </xdr:xfrm>
          <a:graphic>
            <a:graphicData uri="http://schemas.microsoft.com/office/drawing/2010/slicer">
              <sle:slicer xmlns:sle="http://schemas.microsoft.com/office/drawing/2010/slicer" name="Beat"/>
            </a:graphicData>
          </a:graphic>
        </xdr:graphicFrame>
      </mc:Choice>
      <mc:Fallback xmlns="">
        <xdr:sp macro="" textlink="">
          <xdr:nvSpPr>
            <xdr:cNvPr id="0" name=""/>
            <xdr:cNvSpPr>
              <a:spLocks noTextEdit="1"/>
            </xdr:cNvSpPr>
          </xdr:nvSpPr>
          <xdr:spPr>
            <a:xfrm>
              <a:off x="99060" y="3672841"/>
              <a:ext cx="1791450" cy="12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9</xdr:row>
      <xdr:rowOff>91441</xdr:rowOff>
    </xdr:from>
    <xdr:to>
      <xdr:col>3</xdr:col>
      <xdr:colOff>62640</xdr:colOff>
      <xdr:row>13</xdr:row>
      <xdr:rowOff>99060</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F93AA1CF-C8D9-88B4-AEC8-5E4EBD32DD2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1440" y="1851661"/>
              <a:ext cx="1800000" cy="79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137160</xdr:colOff>
      <xdr:row>1</xdr:row>
      <xdr:rowOff>22861</xdr:rowOff>
    </xdr:from>
    <xdr:to>
      <xdr:col>6</xdr:col>
      <xdr:colOff>175260</xdr:colOff>
      <xdr:row>11</xdr:row>
      <xdr:rowOff>137161</xdr:rowOff>
    </xdr:to>
    <mc:AlternateContent xmlns:mc="http://schemas.openxmlformats.org/markup-compatibility/2006">
      <mc:Choice xmlns:a14="http://schemas.microsoft.com/office/drawing/2010/main" Requires="a14">
        <xdr:graphicFrame macro="">
          <xdr:nvGraphicFramePr>
            <xdr:cNvPr id="6" name="SKU">
              <a:extLst>
                <a:ext uri="{FF2B5EF4-FFF2-40B4-BE49-F238E27FC236}">
                  <a16:creationId xmlns:a16="http://schemas.microsoft.com/office/drawing/2014/main" id="{F8E37191-53F1-466F-0E18-F9E0BD403267}"/>
                </a:ext>
              </a:extLst>
            </xdr:cNvPr>
            <xdr:cNvGraphicFramePr/>
          </xdr:nvGraphicFramePr>
          <xdr:xfrm>
            <a:off x="0" y="0"/>
            <a:ext cx="0" cy="0"/>
          </xdr:xfrm>
          <a:graphic>
            <a:graphicData uri="http://schemas.microsoft.com/office/drawing/2010/slicer">
              <sle:slicer xmlns:sle="http://schemas.microsoft.com/office/drawing/2010/slicer" name="SKU"/>
            </a:graphicData>
          </a:graphic>
        </xdr:graphicFrame>
      </mc:Choice>
      <mc:Fallback>
        <xdr:sp macro="" textlink="">
          <xdr:nvSpPr>
            <xdr:cNvPr id="0" name=""/>
            <xdr:cNvSpPr>
              <a:spLocks noTextEdit="1"/>
            </xdr:cNvSpPr>
          </xdr:nvSpPr>
          <xdr:spPr>
            <a:xfrm>
              <a:off x="1965960" y="320041"/>
              <a:ext cx="1866900" cy="1943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 Thaware" refreshedDate="46284.75855810185" backgroundQuery="1" createdVersion="8" refreshedVersion="8" minRefreshableVersion="3" recordCount="0" supportSubquery="1" supportAdvancedDrill="1" xr:uid="{9FD11B7E-8E9E-47CB-8757-E51FA7057091}">
  <cacheSource type="external" connectionId="1"/>
  <cacheFields count="4">
    <cacheField name="[Range].[Distributor_Clean].[Distributor_Clean]" caption="Distributor_Clean" numFmtId="0" hierarchy="3" level="1">
      <sharedItems count="5">
        <s v="Chennai South Distribution"/>
        <s v="Coimbatore Agro Traders"/>
        <s v="Madurai Retail Hub"/>
        <s v="Salem Fresh Foods"/>
        <s v="Trichy Central Distributors"/>
      </sharedItems>
    </cacheField>
    <cacheField name="[Range].[Date_Clean (Month)].[Date_Clean (Month)]" caption="Date_Clean (Month)" numFmtId="0" hierarchy="13" level="1">
      <sharedItems count="2">
        <s v="Jun"/>
        <s v="Jul"/>
      </sharedItems>
    </cacheField>
    <cacheField name="[Range].[Date_Clean].[Date_Clean]" caption="Date_Clean" numFmtId="0" hierarchy="1" level="1">
      <sharedItems containsSemiMixedTypes="0" containsNonDate="0" containsString="0"/>
    </cacheField>
    <cacheField name="[Measures].[Distinct Count of Outlet_ID]" caption="Distinct Count of Outlet_ID" numFmtId="0" hierarchy="18" level="32767"/>
  </cacheFields>
  <cacheHierarchies count="19">
    <cacheHierarchy uniqueName="[Range].[Date]" caption="Date" attribute="1" defaultMemberUniqueName="[Range].[Date].[All]" allUniqueName="[Range].[Date].[All]" dimensionUniqueName="[Range]" displayFolder="" count="0" memberValueDatatype="130" unbalanced="0"/>
    <cacheHierarchy uniqueName="[Range].[Date_Clean]" caption="Date_Clean" attribute="1" time="1" defaultMemberUniqueName="[Range].[Date_Clean].[All]" allUniqueName="[Range].[Date_Clean].[All]" dimensionUniqueName="[Range]" displayFolder="" count="2" memberValueDatatype="7" unbalanced="0">
      <fieldsUsage count="2">
        <fieldUsage x="-1"/>
        <fieldUsage x="2"/>
      </fieldsUsage>
    </cacheHierarchy>
    <cacheHierarchy uniqueName="[Range].[Distributer]" caption="Distributer" attribute="1" defaultMemberUniqueName="[Range].[Distributer].[All]" allUniqueName="[Range].[Distributer].[All]" dimensionUniqueName="[Range]" displayFolder="" count="0" memberValueDatatype="130" unbalanced="0"/>
    <cacheHierarchy uniqueName="[Range].[Distributor_Clean]" caption="Distributor_Clean" attribute="1" defaultMemberUniqueName="[Range].[Distributor_Clean].[All]" allUniqueName="[Range].[Distributor_Clean].[All]" dimensionUniqueName="[Range]" displayFolder="" count="2" memberValueDatatype="130" unbalanced="0">
      <fieldsUsage count="2">
        <fieldUsage x="-1"/>
        <fieldUsage x="0"/>
      </fieldsUsage>
    </cacheHierarchy>
    <cacheHierarchy uniqueName="[Range].[Outlet_ID]" caption="Outlet_ID" attribute="1" defaultMemberUniqueName="[Range].[Outlet_ID].[All]" allUniqueName="[Range].[Outlet_ID].[All]" dimensionUniqueName="[Range]" displayFolder="" count="0" memberValueDatatype="130" unbalanced="0"/>
    <cacheHierarchy uniqueName="[Range].[Outlet_Name]" caption="Outlet_Name" attribute="1" defaultMemberUniqueName="[Range].[Outlet_Name].[All]" allUniqueName="[Range].[Outlet_Name].[All]" dimensionUniqueName="[Range]" displayFolder="" count="0" memberValueDatatype="130" unbalanced="0"/>
    <cacheHierarchy uniqueName="[Range].[Beat]" caption="Beat" attribute="1" defaultMemberUniqueName="[Range].[Beat].[All]" allUniqueName="[Range].[Beat].[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ty_Sold]" caption="Qty_Sold" attribute="1" defaultMemberUniqueName="[Range].[Qty_Sold].[All]" allUniqueName="[Range].[Qty_Sold].[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Sales_Value]" caption="Sales_Value" attribute="1" defaultMemberUniqueName="[Range].[Sales_Value].[All]" allUniqueName="[Range].[Sales_Value].[All]" dimensionUniqueName="[Range]" displayFolder="" count="0" memberValueDatatype="20" unbalanced="0"/>
    <cacheHierarchy uniqueName="[Range].[Data_Flag]" caption="Data_Flag" attribute="1" defaultMemberUniqueName="[Range].[Data_Flag].[All]" allUniqueName="[Range].[Data_Flag].[All]" dimensionUniqueName="[Range]" displayFolder="" count="0" memberValueDatatype="130" unbalanced="0"/>
    <cacheHierarchy uniqueName="[Range].[Date_Clean (Month)]" caption="Date_Clean (Month)" attribute="1" defaultMemberUniqueName="[Range].[Date_Clean (Month)].[All]" allUniqueName="[Range].[Date_Clean (Month)].[All]" dimensionUniqueName="[Range]" displayFolder="" count="2" memberValueDatatype="130" unbalanced="0">
      <fieldsUsage count="2">
        <fieldUsage x="-1"/>
        <fieldUsage x="1"/>
      </fieldsUsage>
    </cacheHierarchy>
    <cacheHierarchy uniqueName="[Range].[Date_Clean (Month Index)]" caption="Date_Clean (Month Index)" attribute="1" defaultMemberUniqueName="[Range].[Date_Clean (Month Index)].[All]" allUniqueName="[Range].[Date_Clean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Outlet_ID]" caption="Count of Outlet_ID" measure="1" displayFolder="" measureGroup="Range" count="0" hidden="1">
      <extLst>
        <ext xmlns:x15="http://schemas.microsoft.com/office/spreadsheetml/2010/11/main" uri="{B97F6D7D-B522-45F9-BDA1-12C45D357490}">
          <x15:cacheHierarchy aggregatedColumn="4"/>
        </ext>
      </extLst>
    </cacheHierarchy>
    <cacheHierarchy uniqueName="[Measures].[Distinct Count of Outlet_ID]" caption="Distinct Count of Outlet_ID" measure="1" displayFolder="" measureGroup="Range" count="0" oneField="1" hidden="1">
      <fieldsUsage count="1">
        <fieldUsage x="3"/>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 Thaware" refreshedDate="46284.758558449073" createdVersion="8" refreshedVersion="8" minRefreshableVersion="3" recordCount="310" xr:uid="{3CBA09AE-7BEE-41D3-98E8-87D8E4F0615F}">
  <cacheSource type="worksheet">
    <worksheetSource ref="A1:M311" sheet="Clean Data"/>
  </cacheSource>
  <cacheFields count="14">
    <cacheField name="Date" numFmtId="0">
      <sharedItems/>
    </cacheField>
    <cacheField name="Date_Clean" numFmtId="14">
      <sharedItems containsSemiMixedTypes="0" containsNonDate="0" containsDate="1" containsString="0" minDate="2026-06-01T00:00:00" maxDate="2026-08-01T00:00:00" count="6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sharedItems>
      <fieldGroup par="13"/>
    </cacheField>
    <cacheField name="Distributer" numFmtId="0">
      <sharedItems/>
    </cacheField>
    <cacheField name="Distributor_Clean" numFmtId="0">
      <sharedItems count="5">
        <s v="Coimbatore Agro Traders"/>
        <s v="Madurai Retail Hub"/>
        <s v="Salem Fresh Foods"/>
        <s v="Trichy Central Distributors"/>
        <s v="Chennai South Distribution"/>
      </sharedItems>
    </cacheField>
    <cacheField name="Outlet_ID" numFmtId="0">
      <sharedItems/>
    </cacheField>
    <cacheField name="Outlet_Name" numFmtId="0">
      <sharedItems/>
    </cacheField>
    <cacheField name="Beat" numFmtId="0">
      <sharedItems count="5">
        <s v="Beat-05"/>
        <s v="Beat-04"/>
        <s v="Beat-03"/>
        <s v="Beat-02"/>
        <s v="Beat-01"/>
      </sharedItems>
    </cacheField>
    <cacheField name="SKU" numFmtId="0">
      <sharedItems count="6">
        <s v="Wood Pressed Mustard Oil 1L"/>
        <s v="Cold Pressed Sesame Oil 1L"/>
        <s v="A2 Bilona Ghee 500ml"/>
        <s v="Cold Pressed Groundnut Oil 1L"/>
        <s v="Cold Pressed Coconut Oil 500ml"/>
        <s v="Cold Pressed Sunflower Oil 1L"/>
      </sharedItems>
    </cacheField>
    <cacheField name="Category" numFmtId="0">
      <sharedItems count="2">
        <s v="Oils"/>
        <s v="Ghee"/>
      </sharedItems>
    </cacheField>
    <cacheField name="Qty_Sold" numFmtId="0">
      <sharedItems containsString="0" containsBlank="1" containsNumber="1" containsInteger="1" minValue="1" maxValue="25"/>
    </cacheField>
    <cacheField name="Unit_Price" numFmtId="0">
      <sharedItems containsSemiMixedTypes="0" containsString="0" containsNumber="1" containsInteger="1" minValue="273" maxValue="765"/>
    </cacheField>
    <cacheField name="Sales_Value" numFmtId="0">
      <sharedItems containsString="0" containsBlank="1" containsNumber="1" containsInteger="1" minValue="288" maxValue="18725"/>
    </cacheField>
    <cacheField name="Data_Flag" numFmtId="0">
      <sharedItems containsBlank="1"/>
    </cacheField>
    <cacheField name="Months (Date_Clean)" numFmtId="0" databaseField="0">
      <fieldGroup base="1">
        <rangePr groupBy="months" startDate="2026-06-01T00:00:00" endDate="2026-08-01T00:00:00"/>
        <groupItems count="14">
          <s v="&lt;01-06-2026"/>
          <s v="Jan"/>
          <s v="Feb"/>
          <s v="Mar"/>
          <s v="Apr"/>
          <s v="May"/>
          <s v="Jun"/>
          <s v="Jul"/>
          <s v="Aug"/>
          <s v="Sep"/>
          <s v="Oct"/>
          <s v="Nov"/>
          <s v="Dec"/>
          <s v="&gt;01-08-2026"/>
        </groupItems>
      </fieldGroup>
    </cacheField>
  </cacheFields>
  <extLst>
    <ext xmlns:x14="http://schemas.microsoft.com/office/spreadsheetml/2009/9/main" uri="{725AE2AE-9491-48be-B2B4-4EB974FC3084}">
      <x14:pivotCacheDefinition pivotCacheId="4936877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
  <r>
    <s v="2026-06-01"/>
    <x v="0"/>
    <s v="Coimbatore Agro Trader"/>
    <x v="0"/>
    <s v="OUT1029"/>
    <s v="Sri General Store"/>
    <x v="0"/>
    <x v="0"/>
    <x v="0"/>
    <n v="21"/>
    <n v="422"/>
    <n v="8862"/>
    <m/>
  </r>
  <r>
    <s v="2026-06-01"/>
    <x v="0"/>
    <s v="Coimbatore Agro Traders"/>
    <x v="0"/>
    <s v="OUT1023"/>
    <s v="Balaji General Store"/>
    <x v="1"/>
    <x v="1"/>
    <x v="0"/>
    <n v="8"/>
    <n v="469"/>
    <n v="3752"/>
    <m/>
  </r>
  <r>
    <s v="01-06-2026"/>
    <x v="0"/>
    <s v="Madurai Retail Hub"/>
    <x v="1"/>
    <s v="OUT1014"/>
    <s v="Amman Supermarket"/>
    <x v="2"/>
    <x v="2"/>
    <x v="1"/>
    <n v="18"/>
    <n v="756"/>
    <n v="13608"/>
    <m/>
  </r>
  <r>
    <s v="01/06/2026"/>
    <x v="0"/>
    <s v="Madurai Retail Hub"/>
    <x v="1"/>
    <s v="OUT1016"/>
    <s v="Balaji Mart"/>
    <x v="2"/>
    <x v="3"/>
    <x v="0"/>
    <n v="25"/>
    <n v="418"/>
    <n v="10450"/>
    <m/>
  </r>
  <r>
    <s v="2026-06-01"/>
    <x v="0"/>
    <s v="Coimbatore Agro Traders "/>
    <x v="0"/>
    <s v="OUT1024"/>
    <s v="Kaveri General Store"/>
    <x v="0"/>
    <x v="0"/>
    <x v="0"/>
    <n v="25"/>
    <n v="400"/>
    <n v="10000"/>
    <m/>
  </r>
  <r>
    <s v="02/06/2026"/>
    <x v="1"/>
    <s v="Coimbatore Agro Trader"/>
    <x v="0"/>
    <s v="OUT1029"/>
    <s v="Sri General Store"/>
    <x v="0"/>
    <x v="1"/>
    <x v="0"/>
    <n v="13"/>
    <n v="464"/>
    <n v="6032"/>
    <m/>
  </r>
  <r>
    <s v="02/06/2026"/>
    <x v="1"/>
    <s v="Salem Fresh Foods"/>
    <x v="2"/>
    <s v="OUT1041"/>
    <s v="New Mart"/>
    <x v="2"/>
    <x v="2"/>
    <x v="1"/>
    <n v="24"/>
    <n v="743"/>
    <n v="17832"/>
    <m/>
  </r>
  <r>
    <s v="2026-06-02"/>
    <x v="1"/>
    <s v="Salem Fresh Foods"/>
    <x v="2"/>
    <s v="OUT1037"/>
    <s v="Amman Mart"/>
    <x v="1"/>
    <x v="4"/>
    <x v="0"/>
    <n v="18"/>
    <n v="300"/>
    <n v="5400"/>
    <m/>
  </r>
  <r>
    <s v="02-06-2026"/>
    <x v="1"/>
    <s v="Trichy Central Distributors"/>
    <x v="3"/>
    <s v="OUT1010"/>
    <s v="Balaji General Store"/>
    <x v="1"/>
    <x v="0"/>
    <x v="0"/>
    <n v="21"/>
    <n v="398"/>
    <n v="8358"/>
    <m/>
  </r>
  <r>
    <s v="2026-06-02"/>
    <x v="1"/>
    <s v="Salem Fresh Foods"/>
    <x v="2"/>
    <s v="OUT1040"/>
    <s v="New Mart"/>
    <x v="3"/>
    <x v="4"/>
    <x v="0"/>
    <n v="10"/>
    <n v="292"/>
    <n v="2920"/>
    <m/>
  </r>
  <r>
    <s v="03-06-2026"/>
    <x v="2"/>
    <s v="Coimbatore Agro Trader"/>
    <x v="0"/>
    <s v="OUT1032"/>
    <s v="Amman Stores"/>
    <x v="2"/>
    <x v="4"/>
    <x v="0"/>
    <n v="21"/>
    <n v="297"/>
    <n v="6237"/>
    <m/>
  </r>
  <r>
    <s v="2026-06-03"/>
    <x v="2"/>
    <s v="Coimbatore Agro Traders"/>
    <x v="0"/>
    <s v="OUT1023"/>
    <s v="Balaji General Store"/>
    <x v="1"/>
    <x v="4"/>
    <x v="0"/>
    <n v="22"/>
    <n v="295"/>
    <n v="6490"/>
    <m/>
  </r>
  <r>
    <s v="2026-06-03"/>
    <x v="2"/>
    <s v="Chennai South Distribution"/>
    <x v="4"/>
    <s v="OUT1048"/>
    <s v="New General Store"/>
    <x v="2"/>
    <x v="2"/>
    <x v="1"/>
    <n v="21"/>
    <n v="744"/>
    <n v="15624"/>
    <m/>
  </r>
  <r>
    <s v="03-06-2026"/>
    <x v="2"/>
    <s v="Trichy Central Distributors"/>
    <x v="3"/>
    <s v="OUT1003"/>
    <s v="New General Store"/>
    <x v="4"/>
    <x v="5"/>
    <x v="0"/>
    <n v="10"/>
    <n v="399"/>
    <n v="3990"/>
    <m/>
  </r>
  <r>
    <s v="2026-06-03"/>
    <x v="2"/>
    <s v="Salem Fresh Foods"/>
    <x v="2"/>
    <s v="OUT1040"/>
    <s v="New Mart"/>
    <x v="3"/>
    <x v="2"/>
    <x v="1"/>
    <n v="1"/>
    <n v="757"/>
    <n v="757"/>
    <m/>
  </r>
  <r>
    <s v="04/06/2026"/>
    <x v="3"/>
    <s v="Trichy Central Distributors"/>
    <x v="3"/>
    <s v="OUT1008"/>
    <s v="Sri Provision Store"/>
    <x v="2"/>
    <x v="3"/>
    <x v="0"/>
    <n v="10"/>
    <n v="417"/>
    <n v="4170"/>
    <m/>
  </r>
  <r>
    <s v="04-06-2026"/>
    <x v="3"/>
    <s v="Coimbatore Agro Traders "/>
    <x v="0"/>
    <s v="OUT1031"/>
    <s v="Amman General Store"/>
    <x v="2"/>
    <x v="4"/>
    <x v="0"/>
    <n v="1"/>
    <n v="288"/>
    <n v="288"/>
    <m/>
  </r>
  <r>
    <s v="04/06/2026"/>
    <x v="3"/>
    <s v="Coimbatore Agro Trader"/>
    <x v="0"/>
    <s v="OUT1032"/>
    <s v="Amman Stores"/>
    <x v="2"/>
    <x v="5"/>
    <x v="0"/>
    <n v="12"/>
    <n v="406"/>
    <n v="4872"/>
    <m/>
  </r>
  <r>
    <s v="04/06/2026"/>
    <x v="3"/>
    <s v="Madurai Retail Hub"/>
    <x v="1"/>
    <s v="OUT1017"/>
    <s v="Sri Supermarket"/>
    <x v="3"/>
    <x v="0"/>
    <x v="0"/>
    <n v="25"/>
    <n v="422"/>
    <n v="10550"/>
    <m/>
  </r>
  <r>
    <s v="04/06/2026"/>
    <x v="3"/>
    <s v="Madurai Retail Hub"/>
    <x v="1"/>
    <s v="OUT1018"/>
    <s v="Shree Stores"/>
    <x v="3"/>
    <x v="0"/>
    <x v="0"/>
    <n v="2"/>
    <n v="402"/>
    <n v="804"/>
    <m/>
  </r>
  <r>
    <s v="2026-06-04"/>
    <x v="3"/>
    <s v="Trichy Central Distributor"/>
    <x v="3"/>
    <s v="OUT1009"/>
    <s v="Shree Supermarket"/>
    <x v="1"/>
    <x v="5"/>
    <x v="0"/>
    <n v="8"/>
    <n v="380"/>
    <n v="3040"/>
    <m/>
  </r>
  <r>
    <s v="05-06-2026"/>
    <x v="4"/>
    <s v="Trichy Central Distributors"/>
    <x v="3"/>
    <s v="OUT1006"/>
    <s v="Shree Provision Store"/>
    <x v="1"/>
    <x v="1"/>
    <x v="0"/>
    <n v="16"/>
    <n v="451"/>
    <n v="7216"/>
    <m/>
  </r>
  <r>
    <s v="2026-06-05"/>
    <x v="4"/>
    <s v="Chennai South Distribution"/>
    <x v="4"/>
    <s v="OUT1050"/>
    <s v="Sri Supermarket"/>
    <x v="2"/>
    <x v="5"/>
    <x v="0"/>
    <n v="17"/>
    <n v="401"/>
    <n v="6817"/>
    <m/>
  </r>
  <r>
    <s v="2026-06-05"/>
    <x v="4"/>
    <s v="Coimbatore Agro Traders "/>
    <x v="0"/>
    <s v="OUT1030"/>
    <s v="Sri Mart"/>
    <x v="3"/>
    <x v="2"/>
    <x v="1"/>
    <n v="5"/>
    <n v="738"/>
    <n v="3690"/>
    <m/>
  </r>
  <r>
    <s v="05/06/2026"/>
    <x v="4"/>
    <s v="Coimbatore Agro Traders "/>
    <x v="0"/>
    <s v="OUT1032"/>
    <s v="Amman Stores"/>
    <x v="2"/>
    <x v="0"/>
    <x v="0"/>
    <n v="6"/>
    <n v="425"/>
    <n v="2550"/>
    <m/>
  </r>
  <r>
    <s v="05-06-2026"/>
    <x v="4"/>
    <s v="Coimbatore Agro Trader"/>
    <x v="0"/>
    <s v="OUT1027"/>
    <s v="New Supermarket"/>
    <x v="3"/>
    <x v="0"/>
    <x v="0"/>
    <n v="7"/>
    <n v="408"/>
    <n v="2856"/>
    <m/>
  </r>
  <r>
    <s v="05-06-2026"/>
    <x v="4"/>
    <s v="Trichy Central Distributors"/>
    <x v="3"/>
    <s v="OUT1001"/>
    <s v="New Stores"/>
    <x v="2"/>
    <x v="1"/>
    <x v="0"/>
    <n v="4"/>
    <n v="478"/>
    <n v="1912"/>
    <m/>
  </r>
  <r>
    <s v="2026-06-05"/>
    <x v="4"/>
    <s v="Coimbatore Agro Traders "/>
    <x v="0"/>
    <s v="OUT1022"/>
    <s v="Shree Supermarket"/>
    <x v="1"/>
    <x v="2"/>
    <x v="1"/>
    <n v="14"/>
    <n v="747"/>
    <n v="10458"/>
    <m/>
  </r>
  <r>
    <s v="06-06-2026"/>
    <x v="5"/>
    <s v="Chennai South Distrbution"/>
    <x v="4"/>
    <s v="OUT1049"/>
    <s v="New General Store"/>
    <x v="4"/>
    <x v="5"/>
    <x v="0"/>
    <n v="10"/>
    <n v="381"/>
    <n v="3810"/>
    <m/>
  </r>
  <r>
    <s v="2026-06-06"/>
    <x v="5"/>
    <s v="Chennai South Distribution"/>
    <x v="4"/>
    <s v="OUT1050"/>
    <s v="Sri Supermarket"/>
    <x v="2"/>
    <x v="1"/>
    <x v="0"/>
    <n v="20"/>
    <n v="469"/>
    <n v="9380"/>
    <m/>
  </r>
  <r>
    <s v="06/06/2026"/>
    <x v="5"/>
    <s v="Coimbatore Agro Trader"/>
    <x v="0"/>
    <s v="OUT1034"/>
    <s v="Shree Supermarket"/>
    <x v="4"/>
    <x v="4"/>
    <x v="0"/>
    <n v="7"/>
    <n v="278"/>
    <n v="1946"/>
    <m/>
  </r>
  <r>
    <s v="07-06-2026"/>
    <x v="6"/>
    <s v="Chennai South Distrbution"/>
    <x v="4"/>
    <s v="OUT1043"/>
    <s v="Sathya Supermarket"/>
    <x v="4"/>
    <x v="3"/>
    <x v="0"/>
    <n v="12"/>
    <n v="425"/>
    <n v="5100"/>
    <m/>
  </r>
  <r>
    <s v="07/06/2026"/>
    <x v="6"/>
    <s v="Salem Fresh Foods"/>
    <x v="2"/>
    <s v="OUT1036"/>
    <s v="Sathya Supermarket"/>
    <x v="3"/>
    <x v="0"/>
    <x v="0"/>
    <n v="4"/>
    <n v="425"/>
    <n v="1700"/>
    <m/>
  </r>
  <r>
    <s v="07/06/2026"/>
    <x v="6"/>
    <s v="Chennai South Distrbution"/>
    <x v="4"/>
    <s v="OUT1043"/>
    <s v="Sathya Supermarket"/>
    <x v="4"/>
    <x v="3"/>
    <x v="0"/>
    <n v="18"/>
    <n v="419"/>
    <n v="7542"/>
    <m/>
  </r>
  <r>
    <s v="07-06-2026"/>
    <x v="6"/>
    <s v="Trichy Central Distributors"/>
    <x v="3"/>
    <s v="OUT1003"/>
    <s v="New General Store"/>
    <x v="4"/>
    <x v="2"/>
    <x v="1"/>
    <n v="3"/>
    <n v="742"/>
    <n v="2226"/>
    <m/>
  </r>
  <r>
    <s v="07-06-2026"/>
    <x v="6"/>
    <s v="Coimbatore Agro Traders "/>
    <x v="0"/>
    <s v="OUT1023"/>
    <s v="Balaji General Store"/>
    <x v="1"/>
    <x v="0"/>
    <x v="0"/>
    <n v="16"/>
    <n v="425"/>
    <n v="6800"/>
    <m/>
  </r>
  <r>
    <s v="2026-06-07"/>
    <x v="6"/>
    <s v="Coimbatore Agro Traders "/>
    <x v="0"/>
    <s v="OUT1034"/>
    <s v="Shree Supermarket"/>
    <x v="4"/>
    <x v="2"/>
    <x v="1"/>
    <n v="8"/>
    <n v="750"/>
    <n v="6000"/>
    <m/>
  </r>
  <r>
    <s v="07/06/2026"/>
    <x v="6"/>
    <s v="Trichy Central Distributors"/>
    <x v="3"/>
    <s v="OUT1011"/>
    <s v="New Mart"/>
    <x v="3"/>
    <x v="1"/>
    <x v="0"/>
    <n v="7"/>
    <n v="468"/>
    <n v="3276"/>
    <m/>
  </r>
  <r>
    <s v="08/06/2026"/>
    <x v="7"/>
    <s v="Chennai South Distribution"/>
    <x v="4"/>
    <s v="OUT1045"/>
    <s v="Kaveri Stores"/>
    <x v="3"/>
    <x v="5"/>
    <x v="0"/>
    <n v="18"/>
    <n v="386"/>
    <n v="6948"/>
    <m/>
  </r>
  <r>
    <s v="2026-06-08"/>
    <x v="7"/>
    <s v="Trichy Central Distributor"/>
    <x v="3"/>
    <s v="OUT1009"/>
    <s v="Shree Supermarket"/>
    <x v="1"/>
    <x v="2"/>
    <x v="1"/>
    <n v="3"/>
    <n v="736"/>
    <n v="2208"/>
    <m/>
  </r>
  <r>
    <s v="2026-06-08"/>
    <x v="7"/>
    <s v="Salem Fresh Foods"/>
    <x v="2"/>
    <s v="OUT1038"/>
    <s v="Kaveri Stores"/>
    <x v="4"/>
    <x v="3"/>
    <x v="0"/>
    <n v="18"/>
    <n v="429"/>
    <n v="7722"/>
    <m/>
  </r>
  <r>
    <s v="08-06-2026"/>
    <x v="7"/>
    <s v="Trichy Central Dist."/>
    <x v="3"/>
    <s v="OUT1012"/>
    <s v="Sri Provision Store"/>
    <x v="4"/>
    <x v="2"/>
    <x v="1"/>
    <n v="20"/>
    <n v="737"/>
    <n v="14740"/>
    <m/>
  </r>
  <r>
    <s v="08-06-2026"/>
    <x v="7"/>
    <s v="Coimbatore Agro Traders"/>
    <x v="0"/>
    <s v="OUT1029"/>
    <s v="Sri General Store"/>
    <x v="0"/>
    <x v="4"/>
    <x v="0"/>
    <n v="3"/>
    <n v="290"/>
    <n v="870"/>
    <m/>
  </r>
  <r>
    <s v="08/06/2026"/>
    <x v="7"/>
    <s v="Salem Fresh Foods"/>
    <x v="2"/>
    <s v="OUT1037"/>
    <s v="Amman Mart"/>
    <x v="1"/>
    <x v="4"/>
    <x v="0"/>
    <n v="6"/>
    <n v="292"/>
    <n v="1752"/>
    <m/>
  </r>
  <r>
    <s v="08/06/2026"/>
    <x v="7"/>
    <s v="Coimbatore Agro Trader"/>
    <x v="0"/>
    <s v="OUT1028"/>
    <s v="Sri Provision Store"/>
    <x v="1"/>
    <x v="5"/>
    <x v="0"/>
    <n v="14"/>
    <n v="392"/>
    <n v="5488"/>
    <m/>
  </r>
  <r>
    <s v="2026-06-09"/>
    <x v="8"/>
    <s v="Trichy Central Distributors"/>
    <x v="3"/>
    <s v="OUT1002"/>
    <s v="Amman Provision Store"/>
    <x v="1"/>
    <x v="4"/>
    <x v="0"/>
    <n v="7"/>
    <n v="280"/>
    <n v="1960"/>
    <m/>
  </r>
  <r>
    <s v="09/06/2026"/>
    <x v="8"/>
    <s v="Trichy Central Dist."/>
    <x v="3"/>
    <s v="OUT1013"/>
    <s v="Balaji Supermarket"/>
    <x v="3"/>
    <x v="1"/>
    <x v="0"/>
    <n v="5"/>
    <n v="459"/>
    <n v="2295"/>
    <m/>
  </r>
  <r>
    <s v="2026-06-09"/>
    <x v="8"/>
    <s v="Madurai Retail Hub"/>
    <x v="1"/>
    <s v="OUT1016"/>
    <s v="Balaji Mart"/>
    <x v="2"/>
    <x v="5"/>
    <x v="0"/>
    <n v="3"/>
    <n v="406"/>
    <n v="1218"/>
    <m/>
  </r>
  <r>
    <s v="09-06-2026"/>
    <x v="8"/>
    <s v="Trichy Central Distributor"/>
    <x v="3"/>
    <s v="OUT1004"/>
    <s v="New Mart"/>
    <x v="4"/>
    <x v="0"/>
    <x v="0"/>
    <n v="22"/>
    <n v="414"/>
    <n v="9108"/>
    <m/>
  </r>
  <r>
    <s v="09/06/2026"/>
    <x v="8"/>
    <s v="Chennai South Distrbution"/>
    <x v="4"/>
    <s v="OUT1045"/>
    <s v="Kaveri Stores"/>
    <x v="3"/>
    <x v="3"/>
    <x v="0"/>
    <n v="11"/>
    <n v="426"/>
    <n v="4686"/>
    <m/>
  </r>
  <r>
    <s v="10-06-2026"/>
    <x v="9"/>
    <s v="Chennai South Distrbution"/>
    <x v="4"/>
    <s v="OUT1051"/>
    <s v="Kaveri Supermarket"/>
    <x v="4"/>
    <x v="2"/>
    <x v="1"/>
    <n v="14"/>
    <n v="749"/>
    <n v="10486"/>
    <m/>
  </r>
  <r>
    <s v="10-06-2026"/>
    <x v="9"/>
    <s v="Chennai South Distrbution"/>
    <x v="4"/>
    <s v="OUT1045"/>
    <s v="Kaveri Stores"/>
    <x v="3"/>
    <x v="3"/>
    <x v="0"/>
    <n v="10"/>
    <n v="428"/>
    <n v="4280"/>
    <m/>
  </r>
  <r>
    <s v="10-06-2026"/>
    <x v="9"/>
    <s v="Chennai South Distrbution"/>
    <x v="4"/>
    <s v="OUT1051"/>
    <s v="Kaveri Supermarket"/>
    <x v="4"/>
    <x v="2"/>
    <x v="1"/>
    <m/>
    <n v="761"/>
    <m/>
    <s v=" Qty_Sold &amp; Sales_Value in only those 5 rows  are missing, mark with YELLOW"/>
  </r>
  <r>
    <s v="10-06-2026"/>
    <x v="9"/>
    <s v="Chennai South Distrbution"/>
    <x v="4"/>
    <s v="OUT1045"/>
    <s v="Kaveri Stores"/>
    <x v="3"/>
    <x v="0"/>
    <x v="0"/>
    <n v="23"/>
    <n v="421"/>
    <n v="9683"/>
    <m/>
  </r>
  <r>
    <s v="10/06/2026"/>
    <x v="9"/>
    <s v="Coimbatore Agro Traders "/>
    <x v="0"/>
    <s v="OUT1022"/>
    <s v="Shree Supermarket"/>
    <x v="1"/>
    <x v="3"/>
    <x v="0"/>
    <n v="7"/>
    <n v="428"/>
    <n v="2996"/>
    <m/>
  </r>
  <r>
    <s v="10/06/2026"/>
    <x v="9"/>
    <s v="Trichy Central Distributors"/>
    <x v="3"/>
    <s v="OUT1007"/>
    <s v="New Provision Store"/>
    <x v="2"/>
    <x v="3"/>
    <x v="0"/>
    <n v="6"/>
    <n v="440"/>
    <n v="2640"/>
    <m/>
  </r>
  <r>
    <s v="11-06-2026"/>
    <x v="10"/>
    <s v="Chennai South Distrbution"/>
    <x v="4"/>
    <s v="OUT1046"/>
    <s v="Annai General Store"/>
    <x v="0"/>
    <x v="4"/>
    <x v="0"/>
    <n v="25"/>
    <n v="284"/>
    <n v="7100"/>
    <m/>
  </r>
  <r>
    <s v="2026-06-11"/>
    <x v="10"/>
    <s v="Trichy Central Distributors"/>
    <x v="3"/>
    <s v="OUT1004"/>
    <s v="New Mart"/>
    <x v="4"/>
    <x v="0"/>
    <x v="0"/>
    <n v="8"/>
    <n v="420"/>
    <n v="3360"/>
    <m/>
  </r>
  <r>
    <s v="11-06-2026"/>
    <x v="10"/>
    <s v="Chennai South Distrbution"/>
    <x v="4"/>
    <s v="OUT1046"/>
    <s v="Annai General Store"/>
    <x v="0"/>
    <x v="3"/>
    <x v="0"/>
    <n v="16"/>
    <n v="435"/>
    <n v="6960"/>
    <m/>
  </r>
  <r>
    <s v="11-06-2026"/>
    <x v="10"/>
    <s v="Coimbatore Agro Trader"/>
    <x v="0"/>
    <s v="OUT1027"/>
    <s v="New Supermarket"/>
    <x v="3"/>
    <x v="4"/>
    <x v="0"/>
    <n v="3"/>
    <n v="277"/>
    <n v="831"/>
    <m/>
  </r>
  <r>
    <s v="2026-06-11"/>
    <x v="10"/>
    <s v="Trichy Central Distributor"/>
    <x v="3"/>
    <s v="OUT1011"/>
    <s v="New Mart"/>
    <x v="3"/>
    <x v="0"/>
    <x v="0"/>
    <n v="2"/>
    <n v="411"/>
    <n v="822"/>
    <m/>
  </r>
  <r>
    <s v="12-06-2026"/>
    <x v="11"/>
    <s v="Madurai Retail  Hub"/>
    <x v="1"/>
    <s v="OUT1019"/>
    <s v="Shree Supermarket"/>
    <x v="2"/>
    <x v="4"/>
    <x v="0"/>
    <n v="17"/>
    <n v="296"/>
    <n v="5032"/>
    <m/>
  </r>
  <r>
    <s v="12/06/2026"/>
    <x v="11"/>
    <s v="Madurai Retail Hub"/>
    <x v="1"/>
    <s v="OUT1018"/>
    <s v="Shree Stores"/>
    <x v="3"/>
    <x v="5"/>
    <x v="0"/>
    <n v="8"/>
    <n v="401"/>
    <n v="3208"/>
    <m/>
  </r>
  <r>
    <s v="12/06/2026"/>
    <x v="11"/>
    <s v="Coimbatore Agro Trader"/>
    <x v="0"/>
    <s v="OUT1028"/>
    <s v="Sri Provision Store"/>
    <x v="1"/>
    <x v="3"/>
    <x v="0"/>
    <n v="25"/>
    <n v="438"/>
    <n v="10950"/>
    <m/>
  </r>
  <r>
    <s v="13/06/2026"/>
    <x v="12"/>
    <s v="Salem Fresh Foods"/>
    <x v="2"/>
    <s v="OUT1041"/>
    <s v="New Mart"/>
    <x v="2"/>
    <x v="0"/>
    <x v="0"/>
    <n v="17"/>
    <n v="409"/>
    <n v="6953"/>
    <m/>
  </r>
  <r>
    <s v="13/06/2026"/>
    <x v="12"/>
    <s v="Trichy Central Dist."/>
    <x v="3"/>
    <s v="OUT1011"/>
    <s v="New Mart"/>
    <x v="3"/>
    <x v="3"/>
    <x v="0"/>
    <n v="15"/>
    <n v="432"/>
    <n v="6480"/>
    <m/>
  </r>
  <r>
    <s v="13/06/2026"/>
    <x v="12"/>
    <s v="Chennai South Distrbution"/>
    <x v="4"/>
    <s v="OUT1051"/>
    <s v="Kaveri Supermarket"/>
    <x v="4"/>
    <x v="1"/>
    <x v="0"/>
    <n v="4"/>
    <n v="468"/>
    <n v="1872"/>
    <m/>
  </r>
  <r>
    <s v="13/06/2026"/>
    <x v="12"/>
    <s v="Salem Fresh Foods"/>
    <x v="2"/>
    <s v="OUT1038"/>
    <s v="Kaveri Stores"/>
    <x v="4"/>
    <x v="2"/>
    <x v="1"/>
    <n v="15"/>
    <n v="753"/>
    <n v="11295"/>
    <m/>
  </r>
  <r>
    <s v="13-06-2026"/>
    <x v="12"/>
    <s v="Coimbatore Agro Traders "/>
    <x v="0"/>
    <s v="OUT1031"/>
    <s v="Amman General Store"/>
    <x v="2"/>
    <x v="5"/>
    <x v="0"/>
    <n v="7"/>
    <n v="402"/>
    <n v="2814"/>
    <m/>
  </r>
  <r>
    <s v="2026-06-14"/>
    <x v="13"/>
    <s v="Chennai South Distribution"/>
    <x v="4"/>
    <s v="OUT1044"/>
    <s v="Annai Supermarket"/>
    <x v="0"/>
    <x v="2"/>
    <x v="1"/>
    <n v="8"/>
    <n v="764"/>
    <n v="6112"/>
    <m/>
  </r>
  <r>
    <s v="2026-06-14"/>
    <x v="13"/>
    <s v="Madurai Retail Hub"/>
    <x v="1"/>
    <s v="OUT1021"/>
    <s v="Sri Provision Store"/>
    <x v="0"/>
    <x v="4"/>
    <x v="0"/>
    <n v="22"/>
    <n v="289"/>
    <n v="6358"/>
    <m/>
  </r>
  <r>
    <s v="2026-06-14"/>
    <x v="13"/>
    <s v="Trichy Central Distributors"/>
    <x v="3"/>
    <s v="OUT1010"/>
    <s v="Balaji General Store"/>
    <x v="1"/>
    <x v="1"/>
    <x v="0"/>
    <n v="9"/>
    <n v="477"/>
    <n v="4293"/>
    <m/>
  </r>
  <r>
    <s v="2026-06-14"/>
    <x v="13"/>
    <s v="Trichy Central Distributors"/>
    <x v="3"/>
    <s v="OUT1001"/>
    <s v="New Stores"/>
    <x v="2"/>
    <x v="2"/>
    <x v="1"/>
    <n v="1"/>
    <n v="742"/>
    <n v="742"/>
    <m/>
  </r>
  <r>
    <s v="15-06-2026"/>
    <x v="14"/>
    <s v="Trichy Central Distributor"/>
    <x v="3"/>
    <s v="OUT1004"/>
    <s v="New Mart"/>
    <x v="4"/>
    <x v="4"/>
    <x v="0"/>
    <n v="12"/>
    <n v="281"/>
    <n v="3372"/>
    <m/>
  </r>
  <r>
    <s v="2026-06-15"/>
    <x v="14"/>
    <s v="Coimbatore Agro Traders "/>
    <x v="0"/>
    <s v="OUT1025"/>
    <s v="Kaveri Stores"/>
    <x v="0"/>
    <x v="3"/>
    <x v="0"/>
    <n v="15"/>
    <n v="427"/>
    <n v="6405"/>
    <m/>
  </r>
  <r>
    <s v="15/06/2026"/>
    <x v="14"/>
    <s v="Coimbatore Agro Trader"/>
    <x v="0"/>
    <s v="OUT1027"/>
    <s v="New Supermarket"/>
    <x v="3"/>
    <x v="2"/>
    <x v="1"/>
    <n v="2"/>
    <n v="748"/>
    <n v="1496"/>
    <m/>
  </r>
  <r>
    <s v="2026-06-15"/>
    <x v="14"/>
    <s v="Trichy Central Distributors"/>
    <x v="3"/>
    <s v="OUT1005"/>
    <s v="Shree Supermarket"/>
    <x v="4"/>
    <x v="0"/>
    <x v="0"/>
    <n v="9"/>
    <n v="418"/>
    <n v="3762"/>
    <m/>
  </r>
  <r>
    <s v="15-06-2026"/>
    <x v="14"/>
    <s v="Madurai Retail Hub"/>
    <x v="1"/>
    <s v="OUT1016"/>
    <s v="Balaji Mart"/>
    <x v="2"/>
    <x v="0"/>
    <x v="0"/>
    <n v="23"/>
    <n v="395"/>
    <n v="9085"/>
    <m/>
  </r>
  <r>
    <s v="2026-06-16"/>
    <x v="15"/>
    <s v="Trichy Central Dist."/>
    <x v="3"/>
    <s v="OUT1009"/>
    <s v="Shree Supermarket"/>
    <x v="1"/>
    <x v="0"/>
    <x v="0"/>
    <n v="18"/>
    <n v="424"/>
    <n v="7632"/>
    <m/>
  </r>
  <r>
    <s v="2026-06-16"/>
    <x v="15"/>
    <s v="Trichy Central Dist."/>
    <x v="3"/>
    <s v="OUT1011"/>
    <s v="New Mart"/>
    <x v="3"/>
    <x v="5"/>
    <x v="0"/>
    <n v="13"/>
    <n v="385"/>
    <n v="5005"/>
    <m/>
  </r>
  <r>
    <s v="16/06/2026"/>
    <x v="15"/>
    <s v="Salem Fresh Foods"/>
    <x v="2"/>
    <s v="OUT1038"/>
    <s v="Kaveri Stores"/>
    <x v="4"/>
    <x v="4"/>
    <x v="0"/>
    <n v="15"/>
    <n v="300"/>
    <n v="4500"/>
    <m/>
  </r>
  <r>
    <s v="2026-06-16"/>
    <x v="15"/>
    <s v="Chennai South Distribution"/>
    <x v="4"/>
    <s v="OUT1043"/>
    <s v="Sathya Supermarket"/>
    <x v="4"/>
    <x v="0"/>
    <x v="0"/>
    <n v="1"/>
    <n v="414"/>
    <n v="414"/>
    <m/>
  </r>
  <r>
    <s v="17-06-2026"/>
    <x v="16"/>
    <s v="Salem Fresh Foods"/>
    <x v="2"/>
    <s v="OUT1042"/>
    <s v="New Mart"/>
    <x v="0"/>
    <x v="5"/>
    <x v="0"/>
    <n v="15"/>
    <n v="385"/>
    <n v="5775"/>
    <m/>
  </r>
  <r>
    <s v="17-06-2026"/>
    <x v="16"/>
    <s v="Trichy Central Distributor"/>
    <x v="3"/>
    <s v="OUT1007"/>
    <s v="New Provision Store"/>
    <x v="2"/>
    <x v="0"/>
    <x v="0"/>
    <n v="7"/>
    <n v="419"/>
    <n v="2933"/>
    <m/>
  </r>
  <r>
    <s v="2026-06-18"/>
    <x v="17"/>
    <s v="Madurai Retail  Hub"/>
    <x v="1"/>
    <s v="OUT1015"/>
    <s v="Annai Supermarket"/>
    <x v="4"/>
    <x v="0"/>
    <x v="0"/>
    <n v="9"/>
    <n v="401"/>
    <n v="3609"/>
    <m/>
  </r>
  <r>
    <s v="2026-06-18"/>
    <x v="17"/>
    <s v="Trichy Central Distributors"/>
    <x v="3"/>
    <s v="OUT1013"/>
    <s v="Balaji Supermarket"/>
    <x v="3"/>
    <x v="3"/>
    <x v="0"/>
    <n v="17"/>
    <n v="439"/>
    <n v="7463"/>
    <m/>
  </r>
  <r>
    <s v="2026-06-18"/>
    <x v="17"/>
    <s v="Madurai Retail Hub"/>
    <x v="1"/>
    <s v="OUT1016"/>
    <s v="Balaji Mart"/>
    <x v="2"/>
    <x v="2"/>
    <x v="1"/>
    <n v="14"/>
    <n v="744"/>
    <n v="10416"/>
    <m/>
  </r>
  <r>
    <s v="19/06/2026"/>
    <x v="18"/>
    <s v="Trichy Central Dist."/>
    <x v="3"/>
    <s v="OUT1002"/>
    <s v="Amman Provision Store"/>
    <x v="1"/>
    <x v="5"/>
    <x v="0"/>
    <n v="1"/>
    <n v="385"/>
    <n v="385"/>
    <m/>
  </r>
  <r>
    <s v="19/06/2026"/>
    <x v="18"/>
    <s v="Madurai Retail Hub"/>
    <x v="1"/>
    <s v="OUT1020"/>
    <s v="Balaji Stores"/>
    <x v="4"/>
    <x v="1"/>
    <x v="0"/>
    <n v="2"/>
    <n v="463"/>
    <n v="926"/>
    <m/>
  </r>
  <r>
    <s v="19-06-2026"/>
    <x v="18"/>
    <s v="Salem Fresh Foods"/>
    <x v="2"/>
    <s v="OUT1037"/>
    <s v="Amman Mart"/>
    <x v="1"/>
    <x v="0"/>
    <x v="0"/>
    <n v="20"/>
    <n v="398"/>
    <n v="7960"/>
    <m/>
  </r>
  <r>
    <s v="19-06-2026"/>
    <x v="18"/>
    <s v="Salem Fresh Foods"/>
    <x v="2"/>
    <s v="OUT1038"/>
    <s v="Kaveri Stores"/>
    <x v="4"/>
    <x v="3"/>
    <x v="0"/>
    <n v="22"/>
    <n v="414"/>
    <n v="9108"/>
    <m/>
  </r>
  <r>
    <s v="20-06-2026"/>
    <x v="19"/>
    <s v="Coimbatore Agro Traders "/>
    <x v="0"/>
    <s v="OUT1032"/>
    <s v="Amman Stores"/>
    <x v="2"/>
    <x v="4"/>
    <x v="0"/>
    <n v="25"/>
    <n v="283"/>
    <n v="7075"/>
    <m/>
  </r>
  <r>
    <s v="20-06-2026"/>
    <x v="19"/>
    <s v="Coimbatore Agro Traders"/>
    <x v="0"/>
    <s v="OUT1031"/>
    <s v="Amman General Store"/>
    <x v="2"/>
    <x v="1"/>
    <x v="0"/>
    <n v="24"/>
    <n v="474"/>
    <n v="11376"/>
    <m/>
  </r>
  <r>
    <s v="20/06/2026"/>
    <x v="19"/>
    <s v="Trichy Central Distributors"/>
    <x v="3"/>
    <s v="OUT1006"/>
    <s v="Shree Provision Store"/>
    <x v="1"/>
    <x v="5"/>
    <x v="0"/>
    <n v="17"/>
    <n v="397"/>
    <n v="6749"/>
    <m/>
  </r>
  <r>
    <s v="2026-06-20"/>
    <x v="19"/>
    <s v="Trichy Central Distributors"/>
    <x v="3"/>
    <s v="OUT1012"/>
    <s v="Sri Provision Store"/>
    <x v="4"/>
    <x v="3"/>
    <x v="0"/>
    <n v="22"/>
    <n v="422"/>
    <n v="9284"/>
    <m/>
  </r>
  <r>
    <s v="20/06/2026"/>
    <x v="19"/>
    <s v="Trichy Central Distributors"/>
    <x v="3"/>
    <s v="OUT1003"/>
    <s v="New General Store"/>
    <x v="4"/>
    <x v="4"/>
    <x v="0"/>
    <n v="2"/>
    <n v="287"/>
    <n v="574"/>
    <m/>
  </r>
  <r>
    <s v="2026-06-21"/>
    <x v="20"/>
    <s v="Trichy Central Dist."/>
    <x v="3"/>
    <s v="OUT1006"/>
    <s v="Shree Provision Store"/>
    <x v="1"/>
    <x v="1"/>
    <x v="0"/>
    <n v="22"/>
    <n v="452"/>
    <n v="9944"/>
    <m/>
  </r>
  <r>
    <s v="21-06-2026"/>
    <x v="20"/>
    <s v="Chennai South Distribution"/>
    <x v="4"/>
    <s v="OUT1048"/>
    <s v="New General Store"/>
    <x v="2"/>
    <x v="4"/>
    <x v="0"/>
    <n v="25"/>
    <n v="287"/>
    <n v="7175"/>
    <m/>
  </r>
  <r>
    <s v="22-06-2026"/>
    <x v="21"/>
    <s v="Salem Fresh Foods"/>
    <x v="2"/>
    <s v="OUT1035"/>
    <s v="Sathya Mart"/>
    <x v="1"/>
    <x v="4"/>
    <x v="0"/>
    <n v="12"/>
    <n v="286"/>
    <n v="3432"/>
    <m/>
  </r>
  <r>
    <s v="22-06-2026"/>
    <x v="21"/>
    <s v="Chennai South Distrbution"/>
    <x v="4"/>
    <s v="OUT1051"/>
    <s v="Kaveri Supermarket"/>
    <x v="4"/>
    <x v="4"/>
    <x v="0"/>
    <n v="6"/>
    <n v="300"/>
    <n v="1800"/>
    <m/>
  </r>
  <r>
    <s v="22/06/2026"/>
    <x v="21"/>
    <s v="Trichy Central Dist."/>
    <x v="3"/>
    <s v="OUT1008"/>
    <s v="Sri Provision Store"/>
    <x v="2"/>
    <x v="1"/>
    <x v="0"/>
    <n v="18"/>
    <n v="466"/>
    <n v="8388"/>
    <m/>
  </r>
  <r>
    <s v="2026-06-22"/>
    <x v="21"/>
    <s v="Coimbatore Agro Traders "/>
    <x v="0"/>
    <s v="OUT1023"/>
    <s v="Balaji General Store"/>
    <x v="1"/>
    <x v="1"/>
    <x v="0"/>
    <n v="10"/>
    <n v="470"/>
    <n v="4700"/>
    <m/>
  </r>
  <r>
    <s v="22/06/2026"/>
    <x v="21"/>
    <s v="Coimbatore Agro Traders"/>
    <x v="0"/>
    <s v="OUT1028"/>
    <s v="Sri Provision Store"/>
    <x v="1"/>
    <x v="0"/>
    <x v="0"/>
    <n v="24"/>
    <n v="409"/>
    <n v="9816"/>
    <m/>
  </r>
  <r>
    <s v="22/06/2026"/>
    <x v="21"/>
    <s v="Salem Fresh Foods"/>
    <x v="2"/>
    <s v="OUT1042"/>
    <s v="New Mart"/>
    <x v="0"/>
    <x v="4"/>
    <x v="0"/>
    <n v="25"/>
    <n v="284"/>
    <n v="7100"/>
    <m/>
  </r>
  <r>
    <s v="2026-06-22"/>
    <x v="21"/>
    <s v="Salem Fresh Foods"/>
    <x v="2"/>
    <s v="OUT1042"/>
    <s v="New Mart"/>
    <x v="0"/>
    <x v="4"/>
    <x v="0"/>
    <n v="6"/>
    <n v="292"/>
    <n v="1752"/>
    <m/>
  </r>
  <r>
    <s v="22-06-2026"/>
    <x v="21"/>
    <s v="Chennai South Distribution"/>
    <x v="4"/>
    <s v="OUT1046"/>
    <s v="Annai General Store"/>
    <x v="0"/>
    <x v="5"/>
    <x v="0"/>
    <n v="5"/>
    <n v="381"/>
    <n v="1905"/>
    <m/>
  </r>
  <r>
    <s v="2026-06-23"/>
    <x v="22"/>
    <s v="Chennai South Distrbution"/>
    <x v="4"/>
    <s v="OUT1046"/>
    <s v="Annai General Store"/>
    <x v="0"/>
    <x v="1"/>
    <x v="0"/>
    <n v="19"/>
    <n v="477"/>
    <n v="9063"/>
    <m/>
  </r>
  <r>
    <s v="23/06/2026"/>
    <x v="22"/>
    <s v="Coimbatore Agro Traders"/>
    <x v="0"/>
    <s v="OUT1034"/>
    <s v="Shree Supermarket"/>
    <x v="4"/>
    <x v="1"/>
    <x v="0"/>
    <n v="21"/>
    <n v="464"/>
    <n v="9744"/>
    <m/>
  </r>
  <r>
    <s v="23/06/2026"/>
    <x v="22"/>
    <s v="Chennai South Distrbution"/>
    <x v="4"/>
    <s v="OUT1048"/>
    <s v="New General Store"/>
    <x v="2"/>
    <x v="2"/>
    <x v="1"/>
    <n v="21"/>
    <n v="745"/>
    <n v="15645"/>
    <m/>
  </r>
  <r>
    <s v="23/06/2026"/>
    <x v="22"/>
    <s v="Coimbatore Agro Traders "/>
    <x v="0"/>
    <s v="OUT1024"/>
    <s v="Kaveri General Store"/>
    <x v="0"/>
    <x v="0"/>
    <x v="0"/>
    <n v="16"/>
    <n v="399"/>
    <n v="6384"/>
    <m/>
  </r>
  <r>
    <s v="2026-06-24"/>
    <x v="23"/>
    <s v="Salem Fresh Foods"/>
    <x v="2"/>
    <s v="OUT1039"/>
    <s v="Sathya Provision Store"/>
    <x v="0"/>
    <x v="2"/>
    <x v="1"/>
    <n v="25"/>
    <n v="741"/>
    <n v="18525"/>
    <m/>
  </r>
  <r>
    <s v="24-06-2026"/>
    <x v="23"/>
    <s v="Salem Fresh Foods"/>
    <x v="2"/>
    <s v="OUT1041"/>
    <s v="New Mart"/>
    <x v="2"/>
    <x v="2"/>
    <x v="1"/>
    <n v="10"/>
    <n v="749"/>
    <n v="7490"/>
    <m/>
  </r>
  <r>
    <s v="24/06/2026"/>
    <x v="23"/>
    <s v="Chennai South Distrbution"/>
    <x v="4"/>
    <s v="OUT1052"/>
    <s v="Sathya Stores"/>
    <x v="0"/>
    <x v="2"/>
    <x v="1"/>
    <n v="10"/>
    <n v="742"/>
    <n v="7420"/>
    <m/>
  </r>
  <r>
    <s v="2026-06-24"/>
    <x v="23"/>
    <s v="Madurai Retail Hub"/>
    <x v="1"/>
    <s v="OUT1017"/>
    <s v="Sri Supermarket"/>
    <x v="3"/>
    <x v="2"/>
    <x v="1"/>
    <n v="8"/>
    <n v="760"/>
    <n v="6080"/>
    <m/>
  </r>
  <r>
    <s v="2026-06-24"/>
    <x v="23"/>
    <s v="Trichy Central Distributor"/>
    <x v="3"/>
    <s v="OUT1004"/>
    <s v="New Mart"/>
    <x v="4"/>
    <x v="2"/>
    <x v="1"/>
    <n v="6"/>
    <n v="743"/>
    <n v="4458"/>
    <m/>
  </r>
  <r>
    <s v="24-06-2026"/>
    <x v="23"/>
    <s v="Coimbatore Agro Traders"/>
    <x v="0"/>
    <s v="OUT1028"/>
    <s v="Sri Provision Store"/>
    <x v="1"/>
    <x v="2"/>
    <x v="1"/>
    <n v="18"/>
    <n v="763"/>
    <n v="13734"/>
    <m/>
  </r>
  <r>
    <s v="24-06-2026"/>
    <x v="23"/>
    <s v="Salem Fresh Foods"/>
    <x v="2"/>
    <s v="OUT1035"/>
    <s v="Sathya Mart"/>
    <x v="1"/>
    <x v="5"/>
    <x v="0"/>
    <n v="11"/>
    <n v="394"/>
    <n v="4334"/>
    <m/>
  </r>
  <r>
    <s v="24/06/2026"/>
    <x v="23"/>
    <s v="Trichy Central Distributor"/>
    <x v="3"/>
    <s v="OUT1008"/>
    <s v="Sri Provision Store"/>
    <x v="2"/>
    <x v="3"/>
    <x v="0"/>
    <n v="3"/>
    <n v="427"/>
    <n v="1281"/>
    <m/>
  </r>
  <r>
    <s v="24/06/2026"/>
    <x v="23"/>
    <s v="Trichy Central Dist."/>
    <x v="3"/>
    <s v="OUT1010"/>
    <s v="Balaji General Store"/>
    <x v="1"/>
    <x v="5"/>
    <x v="0"/>
    <n v="4"/>
    <n v="386"/>
    <n v="1544"/>
    <m/>
  </r>
  <r>
    <s v="25-06-2026"/>
    <x v="24"/>
    <s v="Coimbatore Agro Trader"/>
    <x v="0"/>
    <s v="OUT1026"/>
    <s v="Shree Provision Store"/>
    <x v="1"/>
    <x v="4"/>
    <x v="0"/>
    <n v="16"/>
    <n v="278"/>
    <n v="4448"/>
    <m/>
  </r>
  <r>
    <s v="25/06/2026"/>
    <x v="24"/>
    <s v="Coimbatore Agro Trader"/>
    <x v="0"/>
    <s v="OUT1029"/>
    <s v="Sri General Store"/>
    <x v="0"/>
    <x v="4"/>
    <x v="0"/>
    <n v="9"/>
    <n v="296"/>
    <n v="2664"/>
    <m/>
  </r>
  <r>
    <s v="2026-06-25"/>
    <x v="24"/>
    <s v="Trichy Central Distributors"/>
    <x v="3"/>
    <s v="OUT1007"/>
    <s v="New Provision Store"/>
    <x v="2"/>
    <x v="2"/>
    <x v="1"/>
    <n v="17"/>
    <n v="762"/>
    <n v="12954"/>
    <m/>
  </r>
  <r>
    <s v="25/06/2026"/>
    <x v="24"/>
    <s v="Coimbatore Agro Traders "/>
    <x v="0"/>
    <s v="OUT1025"/>
    <s v="Kaveri Stores"/>
    <x v="0"/>
    <x v="4"/>
    <x v="0"/>
    <n v="20"/>
    <n v="298"/>
    <n v="5960"/>
    <m/>
  </r>
  <r>
    <s v="25-06-2026"/>
    <x v="24"/>
    <s v="Salem Fresh Foods"/>
    <x v="2"/>
    <s v="OUT1042"/>
    <s v="New Mart"/>
    <x v="0"/>
    <x v="3"/>
    <x v="0"/>
    <n v="9"/>
    <n v="434"/>
    <n v="3906"/>
    <m/>
  </r>
  <r>
    <s v="26-06-2026"/>
    <x v="25"/>
    <s v="Madurai Retail Hub"/>
    <x v="1"/>
    <s v="OUT1018"/>
    <s v="Shree Stores"/>
    <x v="3"/>
    <x v="5"/>
    <x v="0"/>
    <n v="24"/>
    <n v="388"/>
    <n v="9312"/>
    <m/>
  </r>
  <r>
    <s v="26/06/2026"/>
    <x v="25"/>
    <s v="Trichy Central Dist."/>
    <x v="3"/>
    <s v="OUT1009"/>
    <s v="Shree Supermarket"/>
    <x v="1"/>
    <x v="1"/>
    <x v="0"/>
    <n v="14"/>
    <n v="453"/>
    <n v="6342"/>
    <m/>
  </r>
  <r>
    <s v="26/06/2026"/>
    <x v="25"/>
    <s v="Madurai Retail Hub"/>
    <x v="1"/>
    <s v="OUT1020"/>
    <s v="Balaji Stores"/>
    <x v="4"/>
    <x v="0"/>
    <x v="0"/>
    <n v="14"/>
    <n v="411"/>
    <n v="5754"/>
    <m/>
  </r>
  <r>
    <s v="26-06-2026"/>
    <x v="25"/>
    <s v="Trichy Central Distributors"/>
    <x v="3"/>
    <s v="OUT1010"/>
    <s v="Balaji General Store"/>
    <x v="1"/>
    <x v="5"/>
    <x v="0"/>
    <n v="4"/>
    <n v="397"/>
    <n v="1588"/>
    <m/>
  </r>
  <r>
    <s v="26-06-2026"/>
    <x v="25"/>
    <s v="Coimbatore Agro Traders "/>
    <x v="0"/>
    <s v="OUT1032"/>
    <s v="Amman Stores"/>
    <x v="2"/>
    <x v="3"/>
    <x v="0"/>
    <n v="2"/>
    <n v="423"/>
    <n v="846"/>
    <m/>
  </r>
  <r>
    <s v="2026-06-26"/>
    <x v="25"/>
    <s v="Salem Fresh Foods"/>
    <x v="2"/>
    <s v="OUT1041"/>
    <s v="New Mart"/>
    <x v="2"/>
    <x v="0"/>
    <x v="0"/>
    <n v="14"/>
    <n v="402"/>
    <n v="5628"/>
    <m/>
  </r>
  <r>
    <s v="2026-06-27"/>
    <x v="26"/>
    <s v="Coimbatore Agro Traders"/>
    <x v="0"/>
    <s v="OUT1029"/>
    <s v="Sri General Store"/>
    <x v="0"/>
    <x v="4"/>
    <x v="0"/>
    <m/>
    <n v="287"/>
    <m/>
    <m/>
  </r>
  <r>
    <s v="27/06/2026"/>
    <x v="26"/>
    <s v="Salem Fresh Foods"/>
    <x v="2"/>
    <s v="OUT1042"/>
    <s v="New Mart"/>
    <x v="0"/>
    <x v="0"/>
    <x v="0"/>
    <n v="3"/>
    <n v="408"/>
    <n v="1224"/>
    <m/>
  </r>
  <r>
    <s v="2026-06-27"/>
    <x v="26"/>
    <s v="Chennai South Distrbution"/>
    <x v="4"/>
    <s v="OUT1043"/>
    <s v="Sathya Supermarket"/>
    <x v="4"/>
    <x v="2"/>
    <x v="1"/>
    <n v="22"/>
    <n v="749"/>
    <n v="16478"/>
    <m/>
  </r>
  <r>
    <s v="2026-06-27"/>
    <x v="26"/>
    <s v="Salem Fresh Foods"/>
    <x v="2"/>
    <s v="OUT1041"/>
    <s v="New Mart"/>
    <x v="2"/>
    <x v="4"/>
    <x v="0"/>
    <n v="3"/>
    <n v="295"/>
    <n v="885"/>
    <m/>
  </r>
  <r>
    <s v="27-06-2026"/>
    <x v="26"/>
    <s v="Madurai Retail  Hub"/>
    <x v="1"/>
    <s v="OUT1014"/>
    <s v="Amman Supermarket"/>
    <x v="2"/>
    <x v="5"/>
    <x v="0"/>
    <n v="23"/>
    <n v="405"/>
    <n v="9315"/>
    <m/>
  </r>
  <r>
    <s v="28/06/2026"/>
    <x v="27"/>
    <s v="Coimbatore Agro Traders "/>
    <x v="0"/>
    <s v="OUT1026"/>
    <s v="Shree Provision Store"/>
    <x v="1"/>
    <x v="0"/>
    <x v="0"/>
    <n v="15"/>
    <n v="402"/>
    <n v="6030"/>
    <m/>
  </r>
  <r>
    <s v="28/06/2026"/>
    <x v="27"/>
    <s v="Salem Fresh Foods"/>
    <x v="2"/>
    <s v="OUT1038"/>
    <s v="Kaveri Stores"/>
    <x v="4"/>
    <x v="4"/>
    <x v="0"/>
    <n v="4"/>
    <n v="282"/>
    <n v="1128"/>
    <m/>
  </r>
  <r>
    <s v="2026-06-28"/>
    <x v="27"/>
    <s v="Madurai Retail Hub"/>
    <x v="1"/>
    <s v="OUT1021"/>
    <s v="Sri Provision Store"/>
    <x v="0"/>
    <x v="0"/>
    <x v="0"/>
    <n v="24"/>
    <n v="411"/>
    <n v="9864"/>
    <m/>
  </r>
  <r>
    <s v="29/06/2026"/>
    <x v="28"/>
    <s v="Coimbatore Agro Traders "/>
    <x v="0"/>
    <s v="OUT1033"/>
    <s v="Sathya Supermarket"/>
    <x v="3"/>
    <x v="4"/>
    <x v="0"/>
    <n v="8"/>
    <n v="288"/>
    <n v="2304"/>
    <m/>
  </r>
  <r>
    <s v="29-06-2026"/>
    <x v="28"/>
    <s v="Madurai Retail Hub"/>
    <x v="1"/>
    <s v="OUT1016"/>
    <s v="Balaji Mart"/>
    <x v="2"/>
    <x v="3"/>
    <x v="0"/>
    <n v="5"/>
    <n v="436"/>
    <n v="2180"/>
    <m/>
  </r>
  <r>
    <s v="2026-06-29"/>
    <x v="28"/>
    <s v="Trichy Central Distributors"/>
    <x v="3"/>
    <s v="OUT1009"/>
    <s v="Shree Supermarket"/>
    <x v="1"/>
    <x v="3"/>
    <x v="0"/>
    <n v="11"/>
    <n v="417"/>
    <n v="4587"/>
    <m/>
  </r>
  <r>
    <s v="2026-06-29"/>
    <x v="28"/>
    <s v="Coimbatore Agro Traders "/>
    <x v="0"/>
    <s v="OUT1022"/>
    <s v="Shree Supermarket"/>
    <x v="1"/>
    <x v="0"/>
    <x v="0"/>
    <n v="20"/>
    <n v="407"/>
    <n v="8140"/>
    <m/>
  </r>
  <r>
    <s v="29-06-2026"/>
    <x v="28"/>
    <s v="Coimbatore Agro Traders"/>
    <x v="0"/>
    <s v="OUT1034"/>
    <s v="Shree Supermarket"/>
    <x v="4"/>
    <x v="4"/>
    <x v="0"/>
    <n v="23"/>
    <n v="287"/>
    <n v="6601"/>
    <m/>
  </r>
  <r>
    <s v="29-06-2026"/>
    <x v="28"/>
    <s v="Trichy Central Dist."/>
    <x v="3"/>
    <s v="OUT1005"/>
    <s v="Shree Supermarket"/>
    <x v="4"/>
    <x v="2"/>
    <x v="1"/>
    <n v="11"/>
    <n v="750"/>
    <n v="8250"/>
    <m/>
  </r>
  <r>
    <s v="29-06-2026"/>
    <x v="28"/>
    <s v="Madurai Retail Hub"/>
    <x v="1"/>
    <s v="OUT1020"/>
    <s v="Balaji Stores"/>
    <x v="4"/>
    <x v="5"/>
    <x v="0"/>
    <n v="7"/>
    <n v="402"/>
    <n v="2814"/>
    <m/>
  </r>
  <r>
    <s v="30-06-2026"/>
    <x v="29"/>
    <s v="Trichy Central Distributors"/>
    <x v="3"/>
    <s v="OUT1008"/>
    <s v="Sri Provision Store"/>
    <x v="2"/>
    <x v="1"/>
    <x v="0"/>
    <n v="25"/>
    <n v="456"/>
    <n v="11400"/>
    <m/>
  </r>
  <r>
    <s v="30-06-2026"/>
    <x v="29"/>
    <s v="Chennai South Distrbution"/>
    <x v="4"/>
    <s v="OUT1050"/>
    <s v="Sri Supermarket"/>
    <x v="2"/>
    <x v="5"/>
    <x v="0"/>
    <n v="5"/>
    <n v="400"/>
    <n v="2000"/>
    <m/>
  </r>
  <r>
    <s v="30/06/2026"/>
    <x v="29"/>
    <s v="Chennai South Distribution"/>
    <x v="4"/>
    <s v="OUT1047"/>
    <s v="Balaji Stores"/>
    <x v="1"/>
    <x v="2"/>
    <x v="1"/>
    <n v="1"/>
    <n v="748"/>
    <n v="748"/>
    <m/>
  </r>
  <r>
    <s v="2026-06-30"/>
    <x v="29"/>
    <s v="Trichy Central Distributors"/>
    <x v="3"/>
    <s v="OUT1013"/>
    <s v="Balaji Supermarket"/>
    <x v="3"/>
    <x v="4"/>
    <x v="0"/>
    <n v="1"/>
    <n v="288"/>
    <n v="288"/>
    <m/>
  </r>
  <r>
    <s v="02-07-2026"/>
    <x v="30"/>
    <s v="Coimbatore Agro Traders"/>
    <x v="0"/>
    <s v="OUT1075"/>
    <s v="Annai Provision Store"/>
    <x v="4"/>
    <x v="2"/>
    <x v="1"/>
    <n v="11"/>
    <n v="754"/>
    <n v="8294"/>
    <m/>
  </r>
  <r>
    <s v="02/07/2026"/>
    <x v="30"/>
    <s v="Coimbatore Agro Traders"/>
    <x v="0"/>
    <s v="OUT1079"/>
    <s v="Sathya General Store"/>
    <x v="0"/>
    <x v="5"/>
    <x v="0"/>
    <n v="17"/>
    <n v="392"/>
    <n v="6664"/>
    <m/>
  </r>
  <r>
    <s v="2026-07-02"/>
    <x v="30"/>
    <s v="Salem Fresh Foods"/>
    <x v="2"/>
    <s v="OUT1091"/>
    <s v="New Provision Store"/>
    <x v="3"/>
    <x v="2"/>
    <x v="1"/>
    <n v="3"/>
    <n v="755"/>
    <n v="2265"/>
    <m/>
  </r>
  <r>
    <s v="2026-07-02"/>
    <x v="30"/>
    <s v="Trichy Central Distributors"/>
    <x v="3"/>
    <s v="OUT1056"/>
    <s v="Balaji Supermarket"/>
    <x v="0"/>
    <x v="1"/>
    <x v="0"/>
    <n v="10"/>
    <n v="453"/>
    <n v="4530"/>
    <m/>
  </r>
  <r>
    <s v="02/07/2026"/>
    <x v="30"/>
    <s v="Madurai Retail Hub"/>
    <x v="1"/>
    <s v="OUT1071"/>
    <s v="Annai Stores"/>
    <x v="3"/>
    <x v="2"/>
    <x v="1"/>
    <n v="17"/>
    <n v="749"/>
    <n v="12733"/>
    <m/>
  </r>
  <r>
    <s v="02/07/2026"/>
    <x v="30"/>
    <s v="Salem Fresh Foods"/>
    <x v="2"/>
    <s v="OUT1092"/>
    <s v="Kaveri General Store"/>
    <x v="1"/>
    <x v="3"/>
    <x v="0"/>
    <n v="13"/>
    <n v="423"/>
    <n v="5499"/>
    <m/>
  </r>
  <r>
    <s v="02-07-2026"/>
    <x v="30"/>
    <s v="Chennai South Distribution"/>
    <x v="4"/>
    <s v="OUT1101"/>
    <s v="Kaveri Mart"/>
    <x v="3"/>
    <x v="1"/>
    <x v="0"/>
    <n v="17"/>
    <n v="457"/>
    <n v="7769"/>
    <m/>
  </r>
  <r>
    <s v="02-07-2026"/>
    <x v="30"/>
    <s v="Coimbatore Agro Traders"/>
    <x v="0"/>
    <s v="OUT1078"/>
    <s v="Annai Mart"/>
    <x v="0"/>
    <x v="4"/>
    <x v="0"/>
    <n v="16"/>
    <n v="287"/>
    <n v="4592"/>
    <m/>
  </r>
  <r>
    <s v="03/07/2026"/>
    <x v="31"/>
    <s v="Madurai Retail  Hub"/>
    <x v="1"/>
    <s v="OUT1066"/>
    <s v="Sri Mart"/>
    <x v="3"/>
    <x v="0"/>
    <x v="0"/>
    <n v="15"/>
    <n v="410"/>
    <n v="6150"/>
    <m/>
  </r>
  <r>
    <s v="2026-07-03"/>
    <x v="31"/>
    <s v="Madurai Retail  Hub"/>
    <x v="1"/>
    <s v="OUT1062"/>
    <s v="Sathya General Store"/>
    <x v="0"/>
    <x v="5"/>
    <x v="0"/>
    <n v="3"/>
    <n v="383"/>
    <n v="1149"/>
    <m/>
  </r>
  <r>
    <s v="2026-07-03"/>
    <x v="31"/>
    <s v="Coimbatore Agro Traders"/>
    <x v="0"/>
    <s v="OUT1079"/>
    <s v="Sathya General Store"/>
    <x v="0"/>
    <x v="5"/>
    <x v="0"/>
    <n v="15"/>
    <n v="409"/>
    <n v="6135"/>
    <m/>
  </r>
  <r>
    <s v="04-07-2026"/>
    <x v="32"/>
    <s v="Trichy Central Dist."/>
    <x v="3"/>
    <s v="OUT1053"/>
    <s v="Amman Provision Store"/>
    <x v="2"/>
    <x v="0"/>
    <x v="0"/>
    <n v="21"/>
    <n v="420"/>
    <n v="8820"/>
    <m/>
  </r>
  <r>
    <s v="2026-07-04"/>
    <x v="32"/>
    <s v="Salem Fresh Foods"/>
    <x v="2"/>
    <s v="OUT1088"/>
    <s v="Annai Mart"/>
    <x v="2"/>
    <x v="1"/>
    <x v="0"/>
    <n v="5"/>
    <n v="465"/>
    <n v="2325"/>
    <m/>
  </r>
  <r>
    <s v="2026-07-04"/>
    <x v="32"/>
    <s v="Chennai South Distribution"/>
    <x v="4"/>
    <s v="OUT1098"/>
    <s v="Annai Mart"/>
    <x v="4"/>
    <x v="0"/>
    <x v="0"/>
    <n v="1"/>
    <n v="408"/>
    <n v="408"/>
    <m/>
  </r>
  <r>
    <s v="04-07-2026"/>
    <x v="32"/>
    <s v="Madurai Retail  Hub"/>
    <x v="1"/>
    <s v="OUT1062"/>
    <s v="Sathya General Store"/>
    <x v="0"/>
    <x v="5"/>
    <x v="0"/>
    <n v="4"/>
    <n v="400"/>
    <n v="1600"/>
    <m/>
  </r>
  <r>
    <s v="04/07/2026"/>
    <x v="32"/>
    <s v="Salem Fresh Foods"/>
    <x v="2"/>
    <s v="OUT1087"/>
    <s v="Annai General Store"/>
    <x v="0"/>
    <x v="2"/>
    <x v="1"/>
    <n v="25"/>
    <n v="749"/>
    <n v="18725"/>
    <m/>
  </r>
  <r>
    <s v="04-07-2026"/>
    <x v="32"/>
    <s v="Chennai South Distrbution"/>
    <x v="4"/>
    <s v="OUT1099"/>
    <s v="Kaveri Mart"/>
    <x v="3"/>
    <x v="4"/>
    <x v="0"/>
    <n v="22"/>
    <n v="298"/>
    <n v="6556"/>
    <m/>
  </r>
  <r>
    <s v="04/07/2026"/>
    <x v="32"/>
    <s v="Chennai South Distrbution"/>
    <x v="4"/>
    <s v="OUT1103"/>
    <s v="Sri Stores"/>
    <x v="2"/>
    <x v="2"/>
    <x v="1"/>
    <n v="10"/>
    <n v="755"/>
    <n v="7550"/>
    <m/>
  </r>
  <r>
    <s v="04/07/2026"/>
    <x v="32"/>
    <s v="Madurai Retail  Hub"/>
    <x v="1"/>
    <s v="OUT1067"/>
    <s v="Kaveri General Store"/>
    <x v="2"/>
    <x v="2"/>
    <x v="1"/>
    <n v="14"/>
    <n v="756"/>
    <n v="10584"/>
    <m/>
  </r>
  <r>
    <s v="2026-07-05"/>
    <x v="33"/>
    <s v="Salem Fresh Foods"/>
    <x v="2"/>
    <s v="OUT1091"/>
    <s v="New Provision Store"/>
    <x v="3"/>
    <x v="2"/>
    <x v="1"/>
    <n v="22"/>
    <n v="763"/>
    <n v="16786"/>
    <m/>
  </r>
  <r>
    <s v="05-07-2026"/>
    <x v="33"/>
    <s v="Salem Fresh Foods"/>
    <x v="2"/>
    <s v="OUT1085"/>
    <s v="Sathya General Store"/>
    <x v="0"/>
    <x v="3"/>
    <x v="0"/>
    <n v="22"/>
    <n v="411"/>
    <n v="9042"/>
    <m/>
  </r>
  <r>
    <s v="06-07-2026"/>
    <x v="34"/>
    <s v="Coimbatore Agro Traders "/>
    <x v="0"/>
    <s v="OUT1082"/>
    <s v="Balaji Stores"/>
    <x v="0"/>
    <x v="0"/>
    <x v="0"/>
    <n v="15"/>
    <n v="410"/>
    <n v="6150"/>
    <m/>
  </r>
  <r>
    <s v="06-07-2026"/>
    <x v="34"/>
    <s v="Salem Fresh Foods"/>
    <x v="2"/>
    <s v="OUT1087"/>
    <s v="Annai General Store"/>
    <x v="0"/>
    <x v="5"/>
    <x v="0"/>
    <n v="15"/>
    <n v="405"/>
    <n v="6075"/>
    <m/>
  </r>
  <r>
    <s v="2026-07-06"/>
    <x v="34"/>
    <s v="Coimbatore Agro Traders "/>
    <x v="0"/>
    <s v="OUT1073"/>
    <s v="New Supermarket"/>
    <x v="4"/>
    <x v="0"/>
    <x v="0"/>
    <n v="8"/>
    <n v="409"/>
    <n v="3272"/>
    <m/>
  </r>
  <r>
    <s v="06-07-2026"/>
    <x v="34"/>
    <s v="Chennai South Distribution"/>
    <x v="4"/>
    <s v="OUT1103"/>
    <s v="Sri Stores"/>
    <x v="2"/>
    <x v="4"/>
    <x v="0"/>
    <n v="15"/>
    <n v="292"/>
    <n v="4380"/>
    <m/>
  </r>
  <r>
    <s v="07/07/2026"/>
    <x v="35"/>
    <s v="Madurai Retail Hub"/>
    <x v="1"/>
    <s v="OUT1072"/>
    <s v="Sri Stores"/>
    <x v="2"/>
    <x v="0"/>
    <x v="0"/>
    <n v="20"/>
    <n v="399"/>
    <n v="7980"/>
    <m/>
  </r>
  <r>
    <s v="07-07-2026"/>
    <x v="35"/>
    <s v="Salem Fresh Foods"/>
    <x v="2"/>
    <s v="OUT1090"/>
    <s v="Balaji Provision Store"/>
    <x v="2"/>
    <x v="4"/>
    <x v="0"/>
    <n v="18"/>
    <n v="290"/>
    <n v="5220"/>
    <m/>
  </r>
  <r>
    <s v="07/07/2026"/>
    <x v="35"/>
    <s v="Madurai Retail  Hub"/>
    <x v="1"/>
    <s v="OUT1070"/>
    <s v="New General Store"/>
    <x v="2"/>
    <x v="2"/>
    <x v="1"/>
    <n v="12"/>
    <n v="761"/>
    <n v="9132"/>
    <m/>
  </r>
  <r>
    <s v="07/07/2026"/>
    <x v="35"/>
    <s v="Chennai South Distrbution"/>
    <x v="4"/>
    <s v="OUT1095"/>
    <s v="Sri General Store"/>
    <x v="4"/>
    <x v="2"/>
    <x v="1"/>
    <n v="18"/>
    <n v="747"/>
    <n v="13446"/>
    <m/>
  </r>
  <r>
    <s v="07-07-2026"/>
    <x v="35"/>
    <s v="Salem Fresh Foods"/>
    <x v="2"/>
    <s v="OUT1091"/>
    <s v="New Provision Store"/>
    <x v="3"/>
    <x v="0"/>
    <x v="0"/>
    <n v="14"/>
    <n v="395"/>
    <n v="5530"/>
    <m/>
  </r>
  <r>
    <s v="07-07-2026"/>
    <x v="35"/>
    <s v="Salem Fresh Foods"/>
    <x v="2"/>
    <s v="OUT1093"/>
    <s v="Annai Supermarket"/>
    <x v="0"/>
    <x v="1"/>
    <x v="0"/>
    <n v="12"/>
    <n v="459"/>
    <n v="5508"/>
    <m/>
  </r>
  <r>
    <s v="08-07-2026"/>
    <x v="36"/>
    <s v="Madurai Retail Hub"/>
    <x v="1"/>
    <s v="OUT1068"/>
    <s v="Sri Stores"/>
    <x v="3"/>
    <x v="0"/>
    <x v="0"/>
    <n v="18"/>
    <n v="420"/>
    <n v="7560"/>
    <m/>
  </r>
  <r>
    <s v="08/07/2026"/>
    <x v="36"/>
    <s v="Salem Fresh Foods"/>
    <x v="2"/>
    <s v="OUT1092"/>
    <s v="Kaveri General Store"/>
    <x v="1"/>
    <x v="4"/>
    <x v="0"/>
    <n v="4"/>
    <n v="277"/>
    <n v="1108"/>
    <m/>
  </r>
  <r>
    <s v="2026-07-08"/>
    <x v="36"/>
    <s v="Madurai Retail  Hub"/>
    <x v="1"/>
    <s v="OUT1070"/>
    <s v="New General Store"/>
    <x v="2"/>
    <x v="1"/>
    <x v="0"/>
    <n v="5"/>
    <n v="455"/>
    <n v="2275"/>
    <m/>
  </r>
  <r>
    <s v="08/07/2026"/>
    <x v="36"/>
    <s v="Coimbatore Agro Traders"/>
    <x v="0"/>
    <s v="OUT1081"/>
    <s v="Amman Mart"/>
    <x v="0"/>
    <x v="3"/>
    <x v="0"/>
    <n v="21"/>
    <n v="424"/>
    <n v="8904"/>
    <m/>
  </r>
  <r>
    <s v="08-07-2026"/>
    <x v="36"/>
    <s v="Coimbatore Agro Traders"/>
    <x v="0"/>
    <s v="OUT1081"/>
    <s v="Amman Mart"/>
    <x v="0"/>
    <x v="4"/>
    <x v="0"/>
    <n v="14"/>
    <n v="291"/>
    <n v="4074"/>
    <m/>
  </r>
  <r>
    <s v="08-07-2026"/>
    <x v="36"/>
    <s v="Coimbatore Agro Traders "/>
    <x v="0"/>
    <s v="OUT1081"/>
    <s v="Amman Mart"/>
    <x v="0"/>
    <x v="2"/>
    <x v="1"/>
    <n v="5"/>
    <n v="735"/>
    <n v="3675"/>
    <m/>
  </r>
  <r>
    <s v="09-07-2026"/>
    <x v="37"/>
    <s v="Madurai Retail Hub"/>
    <x v="1"/>
    <s v="OUT1065"/>
    <s v="Sri Provision Store"/>
    <x v="2"/>
    <x v="1"/>
    <x v="0"/>
    <n v="25"/>
    <n v="460"/>
    <n v="11500"/>
    <m/>
  </r>
  <r>
    <s v="09-07-2026"/>
    <x v="37"/>
    <s v="Coimbatore Agro Traders"/>
    <x v="0"/>
    <s v="OUT1073"/>
    <s v="New Supermarket"/>
    <x v="4"/>
    <x v="4"/>
    <x v="0"/>
    <n v="22"/>
    <n v="289"/>
    <n v="6358"/>
    <m/>
  </r>
  <r>
    <s v="09/07/2026"/>
    <x v="37"/>
    <s v="Trichy Central Distributors"/>
    <x v="3"/>
    <s v="OUT1054"/>
    <s v="Balaji General Store"/>
    <x v="3"/>
    <x v="1"/>
    <x v="0"/>
    <n v="10"/>
    <n v="460"/>
    <n v="4600"/>
    <m/>
  </r>
  <r>
    <s v="09-07-2026"/>
    <x v="37"/>
    <s v="Chennai South Distribution"/>
    <x v="4"/>
    <s v="OUT1095"/>
    <s v="Sri General Store"/>
    <x v="4"/>
    <x v="2"/>
    <x v="1"/>
    <n v="22"/>
    <n v="739"/>
    <n v="16258"/>
    <m/>
  </r>
  <r>
    <s v="2026-07-09"/>
    <x v="37"/>
    <s v="Coimbatore Agro Trader"/>
    <x v="0"/>
    <s v="OUT1083"/>
    <s v="Annai Mart"/>
    <x v="4"/>
    <x v="5"/>
    <x v="0"/>
    <n v="25"/>
    <n v="389"/>
    <n v="9725"/>
    <m/>
  </r>
  <r>
    <s v="10-07-2026"/>
    <x v="38"/>
    <s v="Salem Fresh Foods"/>
    <x v="2"/>
    <s v="OUT1087"/>
    <s v="Annai General Store"/>
    <x v="0"/>
    <x v="2"/>
    <x v="1"/>
    <n v="16"/>
    <n v="739"/>
    <n v="11824"/>
    <m/>
  </r>
  <r>
    <s v="10/07/2026"/>
    <x v="38"/>
    <s v="Coimbatore Agro Traders "/>
    <x v="0"/>
    <s v="OUT1080"/>
    <s v="Balaji Mart"/>
    <x v="4"/>
    <x v="3"/>
    <x v="0"/>
    <n v="23"/>
    <n v="434"/>
    <n v="9982"/>
    <m/>
  </r>
  <r>
    <s v="2026-07-10"/>
    <x v="38"/>
    <s v="Coimbatore Agro Traders"/>
    <x v="0"/>
    <s v="OUT1083"/>
    <s v="Annai Mart"/>
    <x v="4"/>
    <x v="3"/>
    <x v="0"/>
    <n v="2"/>
    <n v="438"/>
    <n v="876"/>
    <m/>
  </r>
  <r>
    <s v="10/07/2026"/>
    <x v="38"/>
    <s v="Madurai Retail Hub"/>
    <x v="1"/>
    <s v="OUT1064"/>
    <s v="Balaji General Store"/>
    <x v="4"/>
    <x v="2"/>
    <x v="1"/>
    <n v="4"/>
    <n v="741"/>
    <n v="2964"/>
    <m/>
  </r>
  <r>
    <s v="10/07/2026"/>
    <x v="38"/>
    <s v="Salem Fresh Foods"/>
    <x v="2"/>
    <s v="OUT1084"/>
    <s v="Shree General Store"/>
    <x v="1"/>
    <x v="2"/>
    <x v="1"/>
    <n v="4"/>
    <n v="756"/>
    <n v="3024"/>
    <m/>
  </r>
  <r>
    <s v="2026-07-10"/>
    <x v="38"/>
    <s v="Chennai South Distribution"/>
    <x v="4"/>
    <s v="OUT1099"/>
    <s v="Kaveri Mart"/>
    <x v="3"/>
    <x v="2"/>
    <x v="1"/>
    <n v="10"/>
    <n v="757"/>
    <n v="7570"/>
    <m/>
  </r>
  <r>
    <s v="2026-07-10"/>
    <x v="38"/>
    <s v="Coimbatore Agro Traders "/>
    <x v="0"/>
    <s v="OUT1075"/>
    <s v="Annai Provision Store"/>
    <x v="4"/>
    <x v="3"/>
    <x v="0"/>
    <n v="17"/>
    <n v="436"/>
    <n v="7412"/>
    <m/>
  </r>
  <r>
    <s v="10-07-2026"/>
    <x v="38"/>
    <s v="Madurai Retail  Hub"/>
    <x v="1"/>
    <s v="OUT1066"/>
    <s v="Sri Mart"/>
    <x v="3"/>
    <x v="4"/>
    <x v="0"/>
    <n v="11"/>
    <n v="288"/>
    <n v="3168"/>
    <m/>
  </r>
  <r>
    <s v="10-07-2026"/>
    <x v="38"/>
    <s v="Coimbatore Agro Traders "/>
    <x v="0"/>
    <s v="OUT1074"/>
    <s v="Balaji Stores"/>
    <x v="0"/>
    <x v="4"/>
    <x v="0"/>
    <n v="23"/>
    <n v="274"/>
    <n v="6302"/>
    <m/>
  </r>
  <r>
    <s v="2026-07-11"/>
    <x v="39"/>
    <s v="Madurai Retail  Hub"/>
    <x v="1"/>
    <s v="OUT1070"/>
    <s v="New General Store"/>
    <x v="2"/>
    <x v="1"/>
    <x v="0"/>
    <n v="3"/>
    <n v="453"/>
    <n v="1359"/>
    <m/>
  </r>
  <r>
    <s v="11-07-2026"/>
    <x v="39"/>
    <s v="Salem Fresh Foods"/>
    <x v="2"/>
    <s v="OUT1086"/>
    <s v="New Mart"/>
    <x v="2"/>
    <x v="5"/>
    <x v="0"/>
    <n v="9"/>
    <n v="383"/>
    <n v="3447"/>
    <m/>
  </r>
  <r>
    <s v="2026-07-11"/>
    <x v="39"/>
    <s v="Coimbatore Agro Trader"/>
    <x v="0"/>
    <s v="OUT1073"/>
    <s v="New Supermarket"/>
    <x v="4"/>
    <x v="0"/>
    <x v="0"/>
    <n v="11"/>
    <n v="416"/>
    <n v="4576"/>
    <m/>
  </r>
  <r>
    <s v="11-07-2026"/>
    <x v="39"/>
    <s v="Trichy Central Distributors"/>
    <x v="3"/>
    <s v="OUT1061"/>
    <s v="Sri Mart"/>
    <x v="1"/>
    <x v="3"/>
    <x v="0"/>
    <n v="5"/>
    <n v="418"/>
    <n v="2090"/>
    <m/>
  </r>
  <r>
    <s v="11-07-2026"/>
    <x v="39"/>
    <s v="Chennai South Distrbution"/>
    <x v="4"/>
    <s v="OUT1098"/>
    <s v="Annai Mart"/>
    <x v="4"/>
    <x v="2"/>
    <x v="1"/>
    <n v="12"/>
    <n v="762"/>
    <n v="9144"/>
    <m/>
  </r>
  <r>
    <s v="11-07-2026"/>
    <x v="39"/>
    <s v="Madurai Retail  Hub"/>
    <x v="1"/>
    <s v="OUT1062"/>
    <s v="Sathya General Store"/>
    <x v="0"/>
    <x v="5"/>
    <x v="0"/>
    <n v="9"/>
    <n v="384"/>
    <n v="3456"/>
    <m/>
  </r>
  <r>
    <s v="11-07-2026"/>
    <x v="39"/>
    <s v="Salem Fresh Foods"/>
    <x v="2"/>
    <s v="OUT1092"/>
    <s v="Kaveri General Store"/>
    <x v="1"/>
    <x v="1"/>
    <x v="0"/>
    <n v="5"/>
    <n v="472"/>
    <n v="2360"/>
    <m/>
  </r>
  <r>
    <s v="12/07/2026"/>
    <x v="40"/>
    <s v="Chennai South Distribution"/>
    <x v="4"/>
    <s v="OUT1095"/>
    <s v="Sri General Store"/>
    <x v="4"/>
    <x v="5"/>
    <x v="0"/>
    <n v="18"/>
    <n v="404"/>
    <n v="7272"/>
    <m/>
  </r>
  <r>
    <s v="2026-07-12"/>
    <x v="40"/>
    <s v="Coimbatore Agro Traders"/>
    <x v="0"/>
    <s v="OUT1075"/>
    <s v="Annai Provision Store"/>
    <x v="4"/>
    <x v="2"/>
    <x v="1"/>
    <n v="12"/>
    <n v="765"/>
    <n v="9180"/>
    <m/>
  </r>
  <r>
    <s v="12-07-2026"/>
    <x v="40"/>
    <s v="Salem Fresh Foods"/>
    <x v="2"/>
    <s v="OUT1087"/>
    <s v="Annai General Store"/>
    <x v="0"/>
    <x v="0"/>
    <x v="0"/>
    <n v="3"/>
    <n v="404"/>
    <n v="1212"/>
    <m/>
  </r>
  <r>
    <s v="12/07/2026"/>
    <x v="40"/>
    <s v="Salem Fresh Foods"/>
    <x v="2"/>
    <s v="OUT1086"/>
    <s v="New Mart"/>
    <x v="2"/>
    <x v="4"/>
    <x v="0"/>
    <n v="25"/>
    <n v="274"/>
    <n v="6850"/>
    <m/>
  </r>
  <r>
    <s v="2026-07-12"/>
    <x v="40"/>
    <s v="Coimbatore Agro Traders "/>
    <x v="0"/>
    <s v="OUT1082"/>
    <s v="Balaji Stores"/>
    <x v="0"/>
    <x v="3"/>
    <x v="0"/>
    <n v="24"/>
    <n v="413"/>
    <n v="9912"/>
    <m/>
  </r>
  <r>
    <s v="12-07-2026"/>
    <x v="40"/>
    <s v="Trichy Central Dist."/>
    <x v="3"/>
    <s v="OUT1057"/>
    <s v="Amman Provision Store"/>
    <x v="3"/>
    <x v="5"/>
    <x v="0"/>
    <n v="24"/>
    <n v="397"/>
    <n v="9528"/>
    <m/>
  </r>
  <r>
    <s v="2026-07-13"/>
    <x v="41"/>
    <s v="Madurai Retail Hub"/>
    <x v="1"/>
    <s v="OUT1066"/>
    <s v="Sri Mart"/>
    <x v="3"/>
    <x v="0"/>
    <x v="0"/>
    <n v="5"/>
    <n v="395"/>
    <n v="1975"/>
    <m/>
  </r>
  <r>
    <s v="13/07/2026"/>
    <x v="41"/>
    <s v="Salem Fresh Foods"/>
    <x v="2"/>
    <s v="OUT1091"/>
    <s v="New Provision Store"/>
    <x v="3"/>
    <x v="0"/>
    <x v="0"/>
    <n v="15"/>
    <n v="396"/>
    <n v="5940"/>
    <m/>
  </r>
  <r>
    <s v="14/07/2026"/>
    <x v="42"/>
    <s v="Chennai South Distribution"/>
    <x v="4"/>
    <s v="OUT1101"/>
    <s v="Kaveri Mart"/>
    <x v="3"/>
    <x v="3"/>
    <x v="0"/>
    <n v="23"/>
    <n v="431"/>
    <n v="9913"/>
    <m/>
  </r>
  <r>
    <s v="2026-07-14"/>
    <x v="42"/>
    <s v="Coimbatore Agro Traders"/>
    <x v="0"/>
    <s v="OUT1081"/>
    <s v="Amman Mart"/>
    <x v="0"/>
    <x v="2"/>
    <x v="1"/>
    <n v="25"/>
    <n v="744"/>
    <n v="18600"/>
    <m/>
  </r>
  <r>
    <s v="14/07/2026"/>
    <x v="42"/>
    <s v="Salem Fresh Foods"/>
    <x v="2"/>
    <s v="OUT1088"/>
    <s v="Annai Mart"/>
    <x v="2"/>
    <x v="2"/>
    <x v="1"/>
    <n v="19"/>
    <n v="745"/>
    <n v="14155"/>
    <m/>
  </r>
  <r>
    <s v="14/07/2026"/>
    <x v="42"/>
    <s v="Salem Fresh Foods"/>
    <x v="2"/>
    <s v="OUT1085"/>
    <s v="Sathya General Store"/>
    <x v="0"/>
    <x v="2"/>
    <x v="1"/>
    <n v="21"/>
    <n v="765"/>
    <n v="16065"/>
    <m/>
  </r>
  <r>
    <s v="2026-07-14"/>
    <x v="42"/>
    <s v="Salem Fresh Foods"/>
    <x v="2"/>
    <s v="OUT1094"/>
    <s v="Kaveri Supermarket"/>
    <x v="0"/>
    <x v="3"/>
    <x v="0"/>
    <n v="9"/>
    <n v="434"/>
    <n v="3906"/>
    <m/>
  </r>
  <r>
    <s v="2026-07-14"/>
    <x v="42"/>
    <s v="Madurai Retail  Hub"/>
    <x v="1"/>
    <s v="OUT1069"/>
    <s v="New General Store"/>
    <x v="4"/>
    <x v="3"/>
    <x v="0"/>
    <n v="8"/>
    <n v="422"/>
    <n v="3376"/>
    <m/>
  </r>
  <r>
    <s v="2026-07-15"/>
    <x v="43"/>
    <s v="Trichy Central Distributors"/>
    <x v="3"/>
    <s v="OUT1057"/>
    <s v="Amman Provision Store"/>
    <x v="3"/>
    <x v="5"/>
    <x v="0"/>
    <n v="12"/>
    <n v="401"/>
    <n v="4812"/>
    <m/>
  </r>
  <r>
    <s v="15/07/2026"/>
    <x v="43"/>
    <s v="Coimbatore Agro Trader"/>
    <x v="0"/>
    <s v="OUT1077"/>
    <s v="Kaveri Mart"/>
    <x v="0"/>
    <x v="5"/>
    <x v="0"/>
    <n v="25"/>
    <n v="396"/>
    <n v="9900"/>
    <m/>
  </r>
  <r>
    <s v="2026-07-15"/>
    <x v="43"/>
    <s v="Madurai Retail Hub"/>
    <x v="1"/>
    <s v="OUT1069"/>
    <s v="New General Store"/>
    <x v="4"/>
    <x v="3"/>
    <x v="0"/>
    <n v="11"/>
    <n v="428"/>
    <n v="4708"/>
    <m/>
  </r>
  <r>
    <s v="2026-07-15"/>
    <x v="43"/>
    <s v="Madurai Retail Hub"/>
    <x v="1"/>
    <s v="OUT1071"/>
    <s v="Annai Stores"/>
    <x v="3"/>
    <x v="1"/>
    <x v="0"/>
    <n v="16"/>
    <n v="459"/>
    <n v="7344"/>
    <m/>
  </r>
  <r>
    <s v="15-07-2026"/>
    <x v="43"/>
    <s v="Salem Fresh Foods"/>
    <x v="2"/>
    <s v="OUT1088"/>
    <s v="Annai Mart"/>
    <x v="2"/>
    <x v="5"/>
    <x v="0"/>
    <n v="17"/>
    <n v="408"/>
    <n v="6936"/>
    <m/>
  </r>
  <r>
    <s v="15-07-2026"/>
    <x v="43"/>
    <s v="Coimbatore Agro Trader"/>
    <x v="0"/>
    <s v="OUT1080"/>
    <s v="Balaji Mart"/>
    <x v="4"/>
    <x v="5"/>
    <x v="0"/>
    <n v="1"/>
    <n v="380"/>
    <n v="380"/>
    <m/>
  </r>
  <r>
    <s v="16-07-2026"/>
    <x v="44"/>
    <s v="Salem Fresh Foods"/>
    <x v="2"/>
    <s v="OUT1084"/>
    <s v="Shree General Store"/>
    <x v="1"/>
    <x v="1"/>
    <x v="0"/>
    <n v="16"/>
    <n v="475"/>
    <n v="7600"/>
    <m/>
  </r>
  <r>
    <s v="16-07-2026"/>
    <x v="44"/>
    <s v="Madurai Retail Hub"/>
    <x v="1"/>
    <s v="OUT1067"/>
    <s v="Kaveri General Store"/>
    <x v="2"/>
    <x v="2"/>
    <x v="1"/>
    <n v="22"/>
    <n v="742"/>
    <n v="16324"/>
    <m/>
  </r>
  <r>
    <s v="16-07-2026"/>
    <x v="44"/>
    <s v="Chennai South Distrbution"/>
    <x v="4"/>
    <s v="OUT1098"/>
    <s v="Annai Mart"/>
    <x v="4"/>
    <x v="0"/>
    <x v="0"/>
    <n v="13"/>
    <n v="400"/>
    <n v="5200"/>
    <m/>
  </r>
  <r>
    <s v="16/07/2026"/>
    <x v="44"/>
    <s v="Chennai South Distribution"/>
    <x v="4"/>
    <s v="OUT1104"/>
    <s v="New General Store"/>
    <x v="4"/>
    <x v="1"/>
    <x v="0"/>
    <m/>
    <n v="462"/>
    <m/>
    <m/>
  </r>
  <r>
    <s v="2026-07-16"/>
    <x v="44"/>
    <s v="Madurai Retail Hub"/>
    <x v="1"/>
    <s v="OUT1064"/>
    <s v="Balaji General Store"/>
    <x v="4"/>
    <x v="0"/>
    <x v="0"/>
    <n v="4"/>
    <n v="412"/>
    <n v="1648"/>
    <m/>
  </r>
  <r>
    <s v="2026-07-16"/>
    <x v="44"/>
    <s v="Salem Fresh Foods"/>
    <x v="2"/>
    <s v="OUT1093"/>
    <s v="Annai Supermarket"/>
    <x v="0"/>
    <x v="4"/>
    <x v="0"/>
    <n v="3"/>
    <n v="286"/>
    <n v="858"/>
    <m/>
  </r>
  <r>
    <s v="16-07-2026"/>
    <x v="44"/>
    <s v="Madurai Retail  Hub"/>
    <x v="1"/>
    <s v="OUT1068"/>
    <s v="Sri Stores"/>
    <x v="3"/>
    <x v="3"/>
    <x v="0"/>
    <n v="14"/>
    <n v="422"/>
    <n v="5908"/>
    <m/>
  </r>
  <r>
    <s v="2026-07-17"/>
    <x v="45"/>
    <s v="Madurai Retail Hub"/>
    <x v="1"/>
    <s v="OUT1066"/>
    <s v="Sri Mart"/>
    <x v="3"/>
    <x v="0"/>
    <x v="0"/>
    <n v="13"/>
    <n v="405"/>
    <n v="5265"/>
    <m/>
  </r>
  <r>
    <s v="17-07-2026"/>
    <x v="45"/>
    <s v="Chennai South Distrbution"/>
    <x v="4"/>
    <s v="OUT1097"/>
    <s v="New General Store"/>
    <x v="0"/>
    <x v="1"/>
    <x v="0"/>
    <n v="24"/>
    <n v="476"/>
    <n v="11424"/>
    <m/>
  </r>
  <r>
    <s v="2026-07-17"/>
    <x v="45"/>
    <s v="Trichy Central Distributors"/>
    <x v="3"/>
    <s v="OUT1061"/>
    <s v="Sri Mart"/>
    <x v="1"/>
    <x v="5"/>
    <x v="0"/>
    <n v="20"/>
    <n v="405"/>
    <n v="8100"/>
    <m/>
  </r>
  <r>
    <s v="2026-07-17"/>
    <x v="45"/>
    <s v="Salem Fresh Foods"/>
    <x v="2"/>
    <s v="OUT1089"/>
    <s v="Annai General Store"/>
    <x v="0"/>
    <x v="3"/>
    <x v="0"/>
    <n v="10"/>
    <n v="420"/>
    <n v="4200"/>
    <m/>
  </r>
  <r>
    <s v="18-07-2026"/>
    <x v="46"/>
    <s v="Madurai Retail  Hub"/>
    <x v="1"/>
    <s v="OUT1072"/>
    <s v="Sri Stores"/>
    <x v="2"/>
    <x v="2"/>
    <x v="1"/>
    <n v="2"/>
    <n v="760"/>
    <n v="1520"/>
    <m/>
  </r>
  <r>
    <s v="18/07/2026"/>
    <x v="46"/>
    <s v="Salem Fresh Foods"/>
    <x v="2"/>
    <s v="OUT1091"/>
    <s v="New Provision Store"/>
    <x v="3"/>
    <x v="0"/>
    <x v="0"/>
    <n v="21"/>
    <n v="410"/>
    <n v="8610"/>
    <m/>
  </r>
  <r>
    <s v="18-07-2026"/>
    <x v="46"/>
    <s v="Salem Fresh Foods"/>
    <x v="2"/>
    <s v="OUT1088"/>
    <s v="Annai Mart"/>
    <x v="2"/>
    <x v="4"/>
    <x v="0"/>
    <n v="12"/>
    <n v="287"/>
    <n v="3444"/>
    <m/>
  </r>
  <r>
    <s v="19/07/2026"/>
    <x v="47"/>
    <s v="Trichy Central Distributors"/>
    <x v="3"/>
    <s v="OUT1053"/>
    <s v="Amman Provision Store"/>
    <x v="2"/>
    <x v="3"/>
    <x v="0"/>
    <n v="24"/>
    <n v="439"/>
    <n v="10536"/>
    <m/>
  </r>
  <r>
    <s v="19/07/2026"/>
    <x v="47"/>
    <s v="Chennai South Distrbution"/>
    <x v="4"/>
    <s v="OUT1096"/>
    <s v="Balaji Provision Store"/>
    <x v="2"/>
    <x v="0"/>
    <x v="0"/>
    <n v="16"/>
    <n v="406"/>
    <n v="6496"/>
    <m/>
  </r>
  <r>
    <s v="2026-07-20"/>
    <x v="48"/>
    <s v="Coimbatore Agro Trader"/>
    <x v="0"/>
    <s v="OUT1073"/>
    <s v="New Supermarket"/>
    <x v="4"/>
    <x v="2"/>
    <x v="1"/>
    <n v="12"/>
    <n v="744"/>
    <n v="8928"/>
    <m/>
  </r>
  <r>
    <s v="20/07/2026"/>
    <x v="48"/>
    <s v="Trichy Central Distributor"/>
    <x v="3"/>
    <s v="OUT1057"/>
    <s v="Amman Provision Store"/>
    <x v="3"/>
    <x v="5"/>
    <x v="0"/>
    <n v="9"/>
    <n v="391"/>
    <n v="3519"/>
    <m/>
  </r>
  <r>
    <s v="20-07-2026"/>
    <x v="48"/>
    <s v="Chennai South Distrbution"/>
    <x v="4"/>
    <s v="OUT1096"/>
    <s v="Balaji Provision Store"/>
    <x v="2"/>
    <x v="5"/>
    <x v="0"/>
    <n v="10"/>
    <n v="396"/>
    <n v="3960"/>
    <m/>
  </r>
  <r>
    <s v="20-07-2026"/>
    <x v="48"/>
    <s v="Chennai South Distrbution"/>
    <x v="4"/>
    <s v="OUT1103"/>
    <s v="Sri Stores"/>
    <x v="2"/>
    <x v="1"/>
    <x v="0"/>
    <n v="13"/>
    <n v="466"/>
    <n v="6058"/>
    <m/>
  </r>
  <r>
    <s v="20-07-2026"/>
    <x v="48"/>
    <s v="Chennai South Distribution"/>
    <x v="4"/>
    <s v="OUT1095"/>
    <s v="Sri General Store"/>
    <x v="4"/>
    <x v="1"/>
    <x v="0"/>
    <n v="13"/>
    <n v="451"/>
    <n v="5863"/>
    <m/>
  </r>
  <r>
    <s v="2026-07-21"/>
    <x v="49"/>
    <s v="Trichy Central Dist."/>
    <x v="3"/>
    <s v="OUT1061"/>
    <s v="Sri Mart"/>
    <x v="1"/>
    <x v="5"/>
    <x v="0"/>
    <n v="2"/>
    <n v="407"/>
    <n v="814"/>
    <m/>
  </r>
  <r>
    <s v="21/07/2026"/>
    <x v="49"/>
    <s v="Coimbatore Agro Trader"/>
    <x v="0"/>
    <s v="OUT1082"/>
    <s v="Balaji Stores"/>
    <x v="0"/>
    <x v="3"/>
    <x v="0"/>
    <n v="12"/>
    <n v="410"/>
    <n v="4920"/>
    <m/>
  </r>
  <r>
    <s v="21/07/2026"/>
    <x v="49"/>
    <s v="Madurai Retail Hub"/>
    <x v="1"/>
    <s v="OUT1069"/>
    <s v="New General Store"/>
    <x v="4"/>
    <x v="0"/>
    <x v="0"/>
    <n v="10"/>
    <n v="395"/>
    <n v="3950"/>
    <m/>
  </r>
  <r>
    <s v="2026-07-21"/>
    <x v="49"/>
    <s v="Madurai Retail Hub"/>
    <x v="1"/>
    <s v="OUT1072"/>
    <s v="Sri Stores"/>
    <x v="2"/>
    <x v="3"/>
    <x v="0"/>
    <n v="20"/>
    <n v="422"/>
    <n v="8440"/>
    <m/>
  </r>
  <r>
    <s v="21-07-2026"/>
    <x v="49"/>
    <s v="Madurai Retail Hub"/>
    <x v="1"/>
    <s v="OUT1071"/>
    <s v="Annai Stores"/>
    <x v="3"/>
    <x v="0"/>
    <x v="0"/>
    <n v="11"/>
    <n v="415"/>
    <n v="4565"/>
    <m/>
  </r>
  <r>
    <s v="2026-07-21"/>
    <x v="49"/>
    <s v="Chennai South Distrbution"/>
    <x v="4"/>
    <s v="OUT1101"/>
    <s v="Kaveri Mart"/>
    <x v="3"/>
    <x v="5"/>
    <x v="0"/>
    <n v="25"/>
    <n v="390"/>
    <n v="9750"/>
    <m/>
  </r>
  <r>
    <s v="2026-07-22"/>
    <x v="50"/>
    <s v="Trichy Central Distributors"/>
    <x v="3"/>
    <s v="OUT1061"/>
    <s v="Sri Mart"/>
    <x v="1"/>
    <x v="5"/>
    <x v="0"/>
    <n v="16"/>
    <n v="394"/>
    <n v="6304"/>
    <m/>
  </r>
  <r>
    <s v="22-07-2026"/>
    <x v="50"/>
    <s v="Salem Fresh Foods"/>
    <x v="2"/>
    <s v="OUT1085"/>
    <s v="Sathya General Store"/>
    <x v="0"/>
    <x v="3"/>
    <x v="0"/>
    <n v="13"/>
    <n v="435"/>
    <n v="5655"/>
    <m/>
  </r>
  <r>
    <s v="22-07-2026"/>
    <x v="50"/>
    <s v="Coimbatore Agro Trader"/>
    <x v="0"/>
    <s v="OUT1076"/>
    <s v="Shree Mart"/>
    <x v="3"/>
    <x v="4"/>
    <x v="0"/>
    <n v="8"/>
    <n v="289"/>
    <n v="2312"/>
    <m/>
  </r>
  <r>
    <s v="23/07/2026"/>
    <x v="51"/>
    <s v="Salem Fresh Foods"/>
    <x v="2"/>
    <s v="OUT1085"/>
    <s v="Sathya General Store"/>
    <x v="0"/>
    <x v="1"/>
    <x v="0"/>
    <n v="12"/>
    <n v="473"/>
    <n v="5676"/>
    <m/>
  </r>
  <r>
    <s v="23/07/2026"/>
    <x v="51"/>
    <s v="Chennai South Distrbution"/>
    <x v="4"/>
    <s v="OUT1099"/>
    <s v="Kaveri Mart"/>
    <x v="3"/>
    <x v="0"/>
    <x v="0"/>
    <n v="11"/>
    <n v="412"/>
    <n v="4532"/>
    <m/>
  </r>
  <r>
    <s v="2026-07-23"/>
    <x v="51"/>
    <s v="Chennai South Distrbution"/>
    <x v="4"/>
    <s v="OUT1098"/>
    <s v="Annai Mart"/>
    <x v="4"/>
    <x v="5"/>
    <x v="0"/>
    <n v="14"/>
    <n v="399"/>
    <n v="5586"/>
    <m/>
  </r>
  <r>
    <s v="23/07/2026"/>
    <x v="51"/>
    <s v="Chennai South Distribution"/>
    <x v="4"/>
    <s v="OUT1095"/>
    <s v="Sri General Store"/>
    <x v="4"/>
    <x v="1"/>
    <x v="0"/>
    <n v="16"/>
    <n v="454"/>
    <n v="7264"/>
    <m/>
  </r>
  <r>
    <s v="2026-07-24"/>
    <x v="52"/>
    <s v="Chennai South Distrbution"/>
    <x v="4"/>
    <s v="OUT1098"/>
    <s v="Annai Mart"/>
    <x v="4"/>
    <x v="0"/>
    <x v="0"/>
    <n v="23"/>
    <n v="401"/>
    <n v="9223"/>
    <m/>
  </r>
  <r>
    <s v="24-07-2026"/>
    <x v="52"/>
    <s v="Trichy Central Distributors"/>
    <x v="3"/>
    <s v="OUT1057"/>
    <s v="Amman Provision Store"/>
    <x v="3"/>
    <x v="2"/>
    <x v="1"/>
    <n v="5"/>
    <n v="755"/>
    <n v="3775"/>
    <m/>
  </r>
  <r>
    <s v="24-07-2026"/>
    <x v="52"/>
    <s v="Chennai South Distrbution"/>
    <x v="4"/>
    <s v="OUT1102"/>
    <s v="Sri Stores"/>
    <x v="0"/>
    <x v="2"/>
    <x v="1"/>
    <n v="2"/>
    <n v="740"/>
    <n v="1480"/>
    <m/>
  </r>
  <r>
    <s v="2026-07-24"/>
    <x v="52"/>
    <s v="Trichy Central Distributors"/>
    <x v="3"/>
    <s v="OUT1061"/>
    <s v="Sri Mart"/>
    <x v="1"/>
    <x v="3"/>
    <x v="0"/>
    <n v="16"/>
    <n v="421"/>
    <n v="6736"/>
    <m/>
  </r>
  <r>
    <s v="24-07-2026"/>
    <x v="52"/>
    <s v="Trichy Central Distributors"/>
    <x v="3"/>
    <s v="OUT1055"/>
    <s v="Kaveri Stores"/>
    <x v="3"/>
    <x v="0"/>
    <x v="0"/>
    <n v="13"/>
    <n v="420"/>
    <n v="5460"/>
    <m/>
  </r>
  <r>
    <s v="24/07/2026"/>
    <x v="52"/>
    <s v="Chennai South Distribution"/>
    <x v="4"/>
    <s v="OUT1103"/>
    <s v="Sri Stores"/>
    <x v="2"/>
    <x v="3"/>
    <x v="0"/>
    <n v="10"/>
    <n v="434"/>
    <n v="4340"/>
    <m/>
  </r>
  <r>
    <s v="24/07/2026"/>
    <x v="52"/>
    <s v="Salem Fresh Foods"/>
    <x v="2"/>
    <s v="OUT1084"/>
    <s v="Shree General Store"/>
    <x v="1"/>
    <x v="3"/>
    <x v="0"/>
    <n v="3"/>
    <n v="436"/>
    <n v="1308"/>
    <m/>
  </r>
  <r>
    <s v="2026-07-25"/>
    <x v="53"/>
    <s v="Madurai Retail Hub"/>
    <x v="1"/>
    <s v="OUT1068"/>
    <s v="Sri Stores"/>
    <x v="3"/>
    <x v="1"/>
    <x v="0"/>
    <n v="25"/>
    <n v="460"/>
    <n v="11500"/>
    <m/>
  </r>
  <r>
    <s v="25-07-2026"/>
    <x v="53"/>
    <s v="Madurai Retail  Hub"/>
    <x v="1"/>
    <s v="OUT1071"/>
    <s v="Annai Stores"/>
    <x v="3"/>
    <x v="5"/>
    <x v="0"/>
    <n v="25"/>
    <n v="401"/>
    <n v="10025"/>
    <m/>
  </r>
  <r>
    <s v="25/07/2026"/>
    <x v="53"/>
    <s v="Coimbatore Agro Traders "/>
    <x v="0"/>
    <s v="OUT1073"/>
    <s v="New Supermarket"/>
    <x v="4"/>
    <x v="5"/>
    <x v="0"/>
    <n v="22"/>
    <n v="405"/>
    <n v="8910"/>
    <m/>
  </r>
  <r>
    <s v="25-07-2026"/>
    <x v="53"/>
    <s v="Coimbatore Agro Trader"/>
    <x v="0"/>
    <s v="OUT1076"/>
    <s v="Shree Mart"/>
    <x v="3"/>
    <x v="0"/>
    <x v="0"/>
    <n v="6"/>
    <n v="396"/>
    <n v="2376"/>
    <m/>
  </r>
  <r>
    <s v="25/07/2026"/>
    <x v="53"/>
    <s v="Madurai Retail  Hub"/>
    <x v="1"/>
    <s v="OUT1064"/>
    <s v="Balaji General Store"/>
    <x v="4"/>
    <x v="3"/>
    <x v="0"/>
    <n v="19"/>
    <n v="423"/>
    <n v="8037"/>
    <m/>
  </r>
  <r>
    <s v="2026-07-25"/>
    <x v="53"/>
    <s v="Salem Fresh Foods"/>
    <x v="2"/>
    <s v="OUT1093"/>
    <s v="Annai Supermarket"/>
    <x v="0"/>
    <x v="1"/>
    <x v="0"/>
    <n v="16"/>
    <n v="464"/>
    <n v="7424"/>
    <m/>
  </r>
  <r>
    <s v="25/07/2026"/>
    <x v="53"/>
    <s v="Coimbatore Agro Trader"/>
    <x v="0"/>
    <s v="OUT1082"/>
    <s v="Balaji Stores"/>
    <x v="0"/>
    <x v="0"/>
    <x v="0"/>
    <n v="5"/>
    <n v="412"/>
    <n v="2060"/>
    <m/>
  </r>
  <r>
    <s v="25/07/2026"/>
    <x v="53"/>
    <s v="Chennai South Distribution"/>
    <x v="4"/>
    <s v="OUT1104"/>
    <s v="New General Store"/>
    <x v="4"/>
    <x v="5"/>
    <x v="0"/>
    <n v="11"/>
    <n v="403"/>
    <n v="4433"/>
    <m/>
  </r>
  <r>
    <s v="26-07-2026"/>
    <x v="54"/>
    <s v="Chennai South Distrbution"/>
    <x v="4"/>
    <s v="OUT1097"/>
    <s v="New General Store"/>
    <x v="0"/>
    <x v="0"/>
    <x v="0"/>
    <n v="19"/>
    <n v="396"/>
    <n v="7524"/>
    <m/>
  </r>
  <r>
    <s v="26/07/2026"/>
    <x v="54"/>
    <s v="Trichy Central Dist."/>
    <x v="3"/>
    <s v="OUT1055"/>
    <s v="Kaveri Stores"/>
    <x v="3"/>
    <x v="3"/>
    <x v="0"/>
    <n v="1"/>
    <n v="413"/>
    <n v="413"/>
    <m/>
  </r>
  <r>
    <s v="26-07-2026"/>
    <x v="54"/>
    <s v="Madurai Retail Hub"/>
    <x v="1"/>
    <s v="OUT1069"/>
    <s v="New General Store"/>
    <x v="4"/>
    <x v="1"/>
    <x v="0"/>
    <n v="15"/>
    <n v="479"/>
    <n v="7185"/>
    <m/>
  </r>
  <r>
    <s v="26-07-2026"/>
    <x v="54"/>
    <s v="Coimbatore Agro Trader"/>
    <x v="0"/>
    <s v="OUT1082"/>
    <s v="Balaji Stores"/>
    <x v="0"/>
    <x v="2"/>
    <x v="1"/>
    <m/>
    <n v="762"/>
    <m/>
    <m/>
  </r>
  <r>
    <s v="26/07/2026"/>
    <x v="54"/>
    <s v="Trichy Central Distributor"/>
    <x v="3"/>
    <s v="OUT1058"/>
    <s v="Balaji Stores"/>
    <x v="1"/>
    <x v="3"/>
    <x v="0"/>
    <n v="8"/>
    <n v="435"/>
    <n v="3480"/>
    <m/>
  </r>
  <r>
    <s v="2026-07-26"/>
    <x v="54"/>
    <s v="Trichy Central Distributors"/>
    <x v="3"/>
    <s v="OUT1060"/>
    <s v="New Stores"/>
    <x v="3"/>
    <x v="4"/>
    <x v="0"/>
    <n v="19"/>
    <n v="275"/>
    <n v="5225"/>
    <m/>
  </r>
  <r>
    <s v="26-07-2026"/>
    <x v="54"/>
    <s v="Trichy Central Distributors"/>
    <x v="3"/>
    <s v="OUT1054"/>
    <s v="Balaji General Store"/>
    <x v="3"/>
    <x v="1"/>
    <x v="0"/>
    <n v="12"/>
    <n v="479"/>
    <n v="5748"/>
    <m/>
  </r>
  <r>
    <s v="27/07/2026"/>
    <x v="55"/>
    <s v="Trichy Central Distributors"/>
    <x v="3"/>
    <s v="OUT1056"/>
    <s v="Balaji Supermarket"/>
    <x v="0"/>
    <x v="0"/>
    <x v="0"/>
    <n v="23"/>
    <n v="408"/>
    <n v="9384"/>
    <m/>
  </r>
  <r>
    <s v="27/07/2026"/>
    <x v="55"/>
    <s v="Madurai Retail Hub"/>
    <x v="1"/>
    <s v="OUT1062"/>
    <s v="Sathya General Store"/>
    <x v="0"/>
    <x v="4"/>
    <x v="0"/>
    <n v="13"/>
    <n v="273"/>
    <n v="3549"/>
    <m/>
  </r>
  <r>
    <s v="27/07/2026"/>
    <x v="55"/>
    <s v="Coimbatore Agro Traders "/>
    <x v="0"/>
    <s v="OUT1081"/>
    <s v="Amman Mart"/>
    <x v="0"/>
    <x v="3"/>
    <x v="0"/>
    <n v="20"/>
    <n v="430"/>
    <n v="8600"/>
    <m/>
  </r>
  <r>
    <s v="27-07-2026"/>
    <x v="55"/>
    <s v="Trichy Central Distributor"/>
    <x v="3"/>
    <s v="OUT1058"/>
    <s v="Balaji Stores"/>
    <x v="1"/>
    <x v="3"/>
    <x v="0"/>
    <n v="7"/>
    <n v="436"/>
    <n v="3052"/>
    <m/>
  </r>
  <r>
    <s v="27-07-2026"/>
    <x v="55"/>
    <s v="Coimbatore Agro Traders"/>
    <x v="0"/>
    <s v="OUT1080"/>
    <s v="Balaji Mart"/>
    <x v="4"/>
    <x v="3"/>
    <x v="0"/>
    <n v="21"/>
    <n v="414"/>
    <n v="8694"/>
    <m/>
  </r>
  <r>
    <s v="2026-07-28"/>
    <x v="56"/>
    <s v="Trichy Central Distributor"/>
    <x v="3"/>
    <s v="OUT1059"/>
    <s v="Balaji Mart"/>
    <x v="0"/>
    <x v="4"/>
    <x v="0"/>
    <n v="5"/>
    <n v="295"/>
    <n v="1475"/>
    <m/>
  </r>
  <r>
    <s v="28-07-2026"/>
    <x v="56"/>
    <s v="Chennai South Distribution"/>
    <x v="4"/>
    <s v="OUT1103"/>
    <s v="Sri Stores"/>
    <x v="2"/>
    <x v="1"/>
    <x v="0"/>
    <n v="15"/>
    <n v="475"/>
    <n v="7125"/>
    <m/>
  </r>
  <r>
    <s v="28-07-2026"/>
    <x v="56"/>
    <s v="Chennai South Distrbution"/>
    <x v="4"/>
    <s v="OUT1097"/>
    <s v="New General Store"/>
    <x v="0"/>
    <x v="0"/>
    <x v="0"/>
    <m/>
    <n v="410"/>
    <m/>
    <m/>
  </r>
  <r>
    <s v="28-07-2026"/>
    <x v="56"/>
    <s v="Coimbatore Agro Trader"/>
    <x v="0"/>
    <s v="OUT1083"/>
    <s v="Annai Mart"/>
    <x v="4"/>
    <x v="3"/>
    <x v="0"/>
    <n v="11"/>
    <n v="435"/>
    <n v="4785"/>
    <m/>
  </r>
  <r>
    <s v="28-07-2026"/>
    <x v="56"/>
    <s v="Coimbatore Agro Traders"/>
    <x v="0"/>
    <s v="OUT1078"/>
    <s v="Annai Mart"/>
    <x v="0"/>
    <x v="0"/>
    <x v="0"/>
    <n v="4"/>
    <n v="419"/>
    <n v="1676"/>
    <m/>
  </r>
  <r>
    <s v="2026-07-28"/>
    <x v="56"/>
    <s v="Madurai Retail Hub"/>
    <x v="1"/>
    <s v="OUT1062"/>
    <s v="Sathya General Store"/>
    <x v="0"/>
    <x v="0"/>
    <x v="0"/>
    <n v="14"/>
    <n v="402"/>
    <n v="5628"/>
    <m/>
  </r>
  <r>
    <s v="28/07/2026"/>
    <x v="56"/>
    <s v="Salem Fresh Foods"/>
    <x v="2"/>
    <s v="OUT1092"/>
    <s v="Kaveri General Store"/>
    <x v="1"/>
    <x v="0"/>
    <x v="0"/>
    <n v="13"/>
    <n v="406"/>
    <n v="5278"/>
    <m/>
  </r>
  <r>
    <s v="29-07-2026"/>
    <x v="57"/>
    <s v="Trichy Central Distributors"/>
    <x v="3"/>
    <s v="OUT1056"/>
    <s v="Balaji Supermarket"/>
    <x v="0"/>
    <x v="2"/>
    <x v="1"/>
    <n v="11"/>
    <n v="742"/>
    <n v="8162"/>
    <m/>
  </r>
  <r>
    <s v="2026-07-29"/>
    <x v="57"/>
    <s v="Salem Fresh Foods"/>
    <x v="2"/>
    <s v="OUT1088"/>
    <s v="Annai Mart"/>
    <x v="2"/>
    <x v="2"/>
    <x v="1"/>
    <n v="3"/>
    <n v="757"/>
    <n v="2271"/>
    <m/>
  </r>
  <r>
    <s v="2026-07-29"/>
    <x v="57"/>
    <s v="Madurai Retail Hub"/>
    <x v="1"/>
    <s v="OUT1066"/>
    <s v="Sri Mart"/>
    <x v="3"/>
    <x v="3"/>
    <x v="0"/>
    <n v="5"/>
    <n v="429"/>
    <n v="2145"/>
    <m/>
  </r>
  <r>
    <s v="30/07/2026"/>
    <x v="58"/>
    <s v="Coimbatore Agro Traders "/>
    <x v="0"/>
    <s v="OUT1083"/>
    <s v="Annai Mart"/>
    <x v="4"/>
    <x v="4"/>
    <x v="0"/>
    <n v="17"/>
    <n v="296"/>
    <n v="5032"/>
    <m/>
  </r>
  <r>
    <s v="2026-07-30"/>
    <x v="58"/>
    <s v="Chennai South Distrbution"/>
    <x v="4"/>
    <s v="OUT1102"/>
    <s v="Sri Stores"/>
    <x v="0"/>
    <x v="1"/>
    <x v="0"/>
    <n v="13"/>
    <n v="455"/>
    <n v="5915"/>
    <m/>
  </r>
  <r>
    <s v="30-07-2026"/>
    <x v="58"/>
    <s v="Chennai South Distribution"/>
    <x v="4"/>
    <s v="OUT1101"/>
    <s v="Kaveri Mart"/>
    <x v="3"/>
    <x v="4"/>
    <x v="0"/>
    <n v="23"/>
    <n v="273"/>
    <n v="6279"/>
    <m/>
  </r>
  <r>
    <s v="2026-07-31"/>
    <x v="59"/>
    <s v="Trichy Central Distributors"/>
    <x v="3"/>
    <s v="OUT1058"/>
    <s v="Balaji Stores"/>
    <x v="1"/>
    <x v="1"/>
    <x v="0"/>
    <n v="15"/>
    <n v="456"/>
    <n v="6840"/>
    <m/>
  </r>
  <r>
    <s v="31/07/2026"/>
    <x v="59"/>
    <s v="Trichy Central Distributors"/>
    <x v="3"/>
    <s v="OUT1056"/>
    <s v="Balaji Supermarket"/>
    <x v="0"/>
    <x v="0"/>
    <x v="0"/>
    <n v="4"/>
    <n v="410"/>
    <n v="1640"/>
    <m/>
  </r>
  <r>
    <s v="31-07-2026"/>
    <x v="59"/>
    <s v="Madurai Retail Hub"/>
    <x v="1"/>
    <s v="OUT1063"/>
    <s v="Balaji Mart"/>
    <x v="0"/>
    <x v="2"/>
    <x v="1"/>
    <n v="18"/>
    <n v="738"/>
    <n v="13284"/>
    <m/>
  </r>
  <r>
    <s v="31/07/2026"/>
    <x v="59"/>
    <s v="Coimbatore Agro Traders"/>
    <x v="0"/>
    <s v="OUT1075"/>
    <s v="Annai Provision Store"/>
    <x v="4"/>
    <x v="4"/>
    <x v="0"/>
    <n v="7"/>
    <n v="274"/>
    <n v="1918"/>
    <m/>
  </r>
  <r>
    <s v="31-07-2026"/>
    <x v="59"/>
    <s v="Chennai South Distrbution"/>
    <x v="4"/>
    <s v="OUT1100"/>
    <s v="Balaji Mart"/>
    <x v="2"/>
    <x v="4"/>
    <x v="0"/>
    <n v="3"/>
    <n v="284"/>
    <n v="852"/>
    <m/>
  </r>
  <r>
    <s v="2026-07-31"/>
    <x v="59"/>
    <s v="Coimbatore Agro Trader"/>
    <x v="0"/>
    <s v="OUT1074"/>
    <s v="Balaji Stores"/>
    <x v="0"/>
    <x v="0"/>
    <x v="0"/>
    <n v="10"/>
    <n v="415"/>
    <n v="4150"/>
    <m/>
  </r>
  <r>
    <s v="31/07/2026"/>
    <x v="59"/>
    <s v="Coimbatore Agro Traders "/>
    <x v="0"/>
    <s v="OUT1077"/>
    <s v="Kaveri Mart"/>
    <x v="0"/>
    <x v="4"/>
    <x v="0"/>
    <n v="7"/>
    <n v="300"/>
    <n v="2100"/>
    <m/>
  </r>
  <r>
    <s v="31-07-2026"/>
    <x v="59"/>
    <s v="Chennai South Distrbution"/>
    <x v="4"/>
    <s v="OUT1101"/>
    <s v="Kaveri Mart"/>
    <x v="3"/>
    <x v="3"/>
    <x v="0"/>
    <n v="6"/>
    <n v="439"/>
    <n v="2634"/>
    <m/>
  </r>
  <r>
    <s v="31-07-2026"/>
    <x v="59"/>
    <s v="Salem Fresh Foods"/>
    <x v="2"/>
    <s v="OUT1086"/>
    <s v="New Mart"/>
    <x v="2"/>
    <x v="5"/>
    <x v="0"/>
    <n v="2"/>
    <n v="401"/>
    <n v="80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146360-A5EE-497A-A0A7-6D42DEC13DB1}" name="Sales value by distributo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0" firstHeaderRow="1" firstDataRow="2" firstDataCol="1"/>
  <pivotFields count="14">
    <pivotField showAll="0"/>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axis="axisRow" showAll="0">
      <items count="6">
        <item x="4"/>
        <item x="0"/>
        <item x="1"/>
        <item x="2"/>
        <item x="3"/>
        <item t="default"/>
      </items>
    </pivotField>
    <pivotField showAll="0"/>
    <pivotField showAll="0"/>
    <pivotField showAll="0">
      <items count="6">
        <item x="4"/>
        <item x="3"/>
        <item x="2"/>
        <item x="1"/>
        <item x="0"/>
        <item t="default"/>
      </items>
    </pivotField>
    <pivotField showAll="0"/>
    <pivotField showAll="0">
      <items count="3">
        <item x="1"/>
        <item x="0"/>
        <item t="default"/>
      </items>
    </pivotField>
    <pivotField showAll="0"/>
    <pivotField showAll="0"/>
    <pivotField dataField="1" showAll="0"/>
    <pivotField showAll="0"/>
    <pivotField axis="axisCol"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Fields count="1">
    <field x="13"/>
  </colFields>
  <colItems count="3">
    <i>
      <x v="6"/>
    </i>
    <i>
      <x v="7"/>
    </i>
    <i t="grand">
      <x/>
    </i>
  </colItems>
  <dataFields count="1">
    <dataField name="Sum of Sales_Value" fld="11" baseField="0" baseItem="0"/>
  </dataFields>
  <chartFormats count="2">
    <chartFormat chart="3" format="4" series="1">
      <pivotArea type="data" outline="0" fieldPosition="0">
        <references count="2">
          <reference field="4294967294" count="1" selected="0">
            <x v="0"/>
          </reference>
          <reference field="13" count="1" selected="0">
            <x v="6"/>
          </reference>
        </references>
      </pivotArea>
    </chartFormat>
    <chartFormat chart="3" format="5" series="1">
      <pivotArea type="data" outline="0" fieldPosition="0">
        <references count="2">
          <reference field="4294967294" count="1" selected="0">
            <x v="0"/>
          </reference>
          <reference field="1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073086-F96A-440D-BB5E-4C8E6818ED5B}" name="Active outlets per distributor" cacheId="0"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6">
  <location ref="F32:H40" firstHeaderRow="1" firstDataRow="3" firstDataCol="1"/>
  <pivotFields count="4">
    <pivotField axis="axisRow" allDrilled="1" subtotalTop="0" showAll="0" dataSourceSort="1" defaultSubtotal="0" defaultAttributeDrillState="1">
      <items count="5">
        <item x="0"/>
        <item x="1"/>
        <item x="2"/>
        <item x="3"/>
        <item x="4"/>
      </items>
    </pivotField>
    <pivotField axis="axisCol" allDrilled="1" subtotalTop="0" showAll="0" dataSourceSort="1" defaultSubtotal="0">
      <items count="2">
        <item x="0" e="0"/>
        <item x="1" e="0"/>
      </items>
    </pivotField>
    <pivotField axis="axisCol" allDrilled="1" subtotalTop="0" showAll="0" dataSourceSort="1" defaultSubtotal="0" defaultAttributeDrillState="1"/>
    <pivotField dataField="1" subtotalTop="0" showAll="0" defaultSubtotal="0"/>
  </pivotFields>
  <rowFields count="1">
    <field x="0"/>
  </rowFields>
  <rowItems count="6">
    <i>
      <x/>
    </i>
    <i>
      <x v="1"/>
    </i>
    <i>
      <x v="2"/>
    </i>
    <i>
      <x v="3"/>
    </i>
    <i>
      <x v="4"/>
    </i>
    <i t="grand">
      <x/>
    </i>
  </rowItems>
  <colFields count="2">
    <field x="1"/>
    <field x="2"/>
  </colFields>
  <colItems count="2">
    <i>
      <x/>
    </i>
    <i>
      <x v="1"/>
    </i>
  </colItems>
  <dataFields count="1">
    <dataField name="Distinct Count of Outlet_ID" fld="3" subtotal="count" baseField="0" baseItem="0">
      <extLst>
        <ext xmlns:x15="http://schemas.microsoft.com/office/spreadsheetml/2010/11/main" uri="{FABC7310-3BB5-11E1-824E-6D434824019B}">
          <x15:dataField isCountDistinct="1"/>
        </ext>
      </extLst>
    </dataField>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utlet_ID"/>
  </pivotHierarchies>
  <pivotTableStyleInfo name="PivotStyleLight16" showRowHeaders="1" showColHeaders="1" showRowStripes="0" showColStripes="0" showLastColumn="1"/>
  <rowHierarchiesUsage count="1">
    <rowHierarchyUsage hierarchyUsage="3"/>
  </rowHierarchiesUsage>
  <colHierarchiesUsage count="2">
    <colHierarchyUsage hierarchyUsage="13"/>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 Data!$A$1:$M$31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BB8597-FE83-4D17-9EA1-F837C625CC94}" name="Sales by SKU"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8" firstHeaderRow="1" firstDataRow="2" firstDataCol="1"/>
  <pivotFields count="14">
    <pivotField showAll="0"/>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items count="6">
        <item x="4"/>
        <item x="0"/>
        <item x="1"/>
        <item x="2"/>
        <item x="3"/>
        <item t="default"/>
      </items>
    </pivotField>
    <pivotField showAll="0"/>
    <pivotField showAll="0"/>
    <pivotField showAll="0">
      <items count="6">
        <item x="4"/>
        <item x="3"/>
        <item x="2"/>
        <item x="1"/>
        <item x="0"/>
        <item t="default"/>
      </items>
    </pivotField>
    <pivotField axis="axisRow" showAll="0">
      <items count="7">
        <item x="2"/>
        <item x="4"/>
        <item x="3"/>
        <item x="1"/>
        <item x="5"/>
        <item x="0"/>
        <item t="default"/>
      </items>
    </pivotField>
    <pivotField showAll="0">
      <items count="3">
        <item x="1"/>
        <item x="0"/>
        <item t="default"/>
      </items>
    </pivotField>
    <pivotField showAll="0"/>
    <pivotField showAll="0"/>
    <pivotField dataField="1" showAll="0"/>
    <pivotField showAll="0"/>
    <pivotField axis="axisCol" showAll="0">
      <items count="15">
        <item x="0"/>
        <item x="1"/>
        <item x="2"/>
        <item x="3"/>
        <item x="4"/>
        <item x="5"/>
        <item x="6"/>
        <item x="7"/>
        <item x="8"/>
        <item x="9"/>
        <item x="10"/>
        <item x="11"/>
        <item x="12"/>
        <item x="13"/>
        <item t="default"/>
      </items>
    </pivotField>
  </pivotFields>
  <rowFields count="1">
    <field x="7"/>
  </rowFields>
  <rowItems count="7">
    <i>
      <x/>
    </i>
    <i>
      <x v="1"/>
    </i>
    <i>
      <x v="2"/>
    </i>
    <i>
      <x v="3"/>
    </i>
    <i>
      <x v="4"/>
    </i>
    <i>
      <x v="5"/>
    </i>
    <i t="grand">
      <x/>
    </i>
  </rowItems>
  <colFields count="1">
    <field x="13"/>
  </colFields>
  <colItems count="3">
    <i>
      <x v="6"/>
    </i>
    <i>
      <x v="7"/>
    </i>
    <i t="grand">
      <x/>
    </i>
  </colItems>
  <dataFields count="1">
    <dataField name="Sum of Sales_Value" fld="11" baseField="0" baseItem="0"/>
  </dataFields>
  <chartFormats count="2">
    <chartFormat chart="3" format="4" series="1">
      <pivotArea type="data" outline="0" fieldPosition="0">
        <references count="2">
          <reference field="4294967294" count="1" selected="0">
            <x v="0"/>
          </reference>
          <reference field="13" count="1" selected="0">
            <x v="6"/>
          </reference>
        </references>
      </pivotArea>
    </chartFormat>
    <chartFormat chart="3" format="5" series="1">
      <pivotArea type="data" outline="0" fieldPosition="0">
        <references count="2">
          <reference field="4294967294" count="1" selected="0">
            <x v="0"/>
          </reference>
          <reference field="1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E57927-7BD2-43C7-93B3-42DEB97DF7F6}" name="Sales by Catego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3:D17" firstHeaderRow="1" firstDataRow="2" firstDataCol="1"/>
  <pivotFields count="14">
    <pivotField showAll="0"/>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items count="6">
        <item x="4"/>
        <item x="0"/>
        <item x="1"/>
        <item x="2"/>
        <item x="3"/>
        <item t="default"/>
      </items>
    </pivotField>
    <pivotField showAll="0"/>
    <pivotField showAll="0"/>
    <pivotField showAll="0">
      <items count="6">
        <item x="4"/>
        <item x="3"/>
        <item x="2"/>
        <item x="1"/>
        <item x="0"/>
        <item t="default"/>
      </items>
    </pivotField>
    <pivotField showAll="0"/>
    <pivotField axis="axisRow" showAll="0">
      <items count="3">
        <item x="1"/>
        <item x="0"/>
        <item t="default"/>
      </items>
    </pivotField>
    <pivotField showAll="0"/>
    <pivotField showAll="0"/>
    <pivotField dataField="1" showAll="0"/>
    <pivotField showAll="0"/>
    <pivotField axis="axisCol" showAll="0">
      <items count="15">
        <item x="0"/>
        <item x="1"/>
        <item x="2"/>
        <item x="3"/>
        <item x="4"/>
        <item x="5"/>
        <item x="6"/>
        <item x="7"/>
        <item x="8"/>
        <item x="9"/>
        <item x="10"/>
        <item x="11"/>
        <item x="12"/>
        <item x="13"/>
        <item t="default"/>
      </items>
    </pivotField>
  </pivotFields>
  <rowFields count="1">
    <field x="8"/>
  </rowFields>
  <rowItems count="3">
    <i>
      <x/>
    </i>
    <i>
      <x v="1"/>
    </i>
    <i t="grand">
      <x/>
    </i>
  </rowItems>
  <colFields count="1">
    <field x="13"/>
  </colFields>
  <colItems count="3">
    <i>
      <x v="6"/>
    </i>
    <i>
      <x v="7"/>
    </i>
    <i t="grand">
      <x/>
    </i>
  </colItems>
  <dataFields count="1">
    <dataField name="Sum of Sales_Value" fld="11" baseField="0" baseItem="0"/>
  </dataFields>
  <chartFormats count="2">
    <chartFormat chart="3" format="4" series="1">
      <pivotArea type="data" outline="0" fieldPosition="0">
        <references count="2">
          <reference field="4294967294" count="1" selected="0">
            <x v="0"/>
          </reference>
          <reference field="13" count="1" selected="0">
            <x v="6"/>
          </reference>
        </references>
      </pivotArea>
    </chartFormat>
    <chartFormat chart="3" format="5" series="1">
      <pivotArea type="data" outline="0" fieldPosition="0">
        <references count="2">
          <reference field="4294967294" count="1" selected="0">
            <x v="0"/>
          </reference>
          <reference field="1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butor_Clean" xr10:uid="{1A95940F-D4FE-4B7E-976A-02F71D32B1F0}" sourceName="Distributor_Clean">
  <pivotTables>
    <pivotTable tabId="8" name="Sales value by distributor"/>
    <pivotTable tabId="8" name="Sales by Category"/>
    <pivotTable tabId="8" name="Sales by SKU"/>
  </pivotTables>
  <data>
    <tabular pivotCacheId="493687774">
      <items count="5">
        <i x="4" s="1"/>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at" xr10:uid="{028E1683-6AAE-4A80-B5C2-A19AF6841641}" sourceName="Beat">
  <pivotTables>
    <pivotTable tabId="8" name="Sales value by distributor"/>
    <pivotTable tabId="8" name="Sales by Category"/>
    <pivotTable tabId="8" name="Sales by SKU"/>
  </pivotTables>
  <data>
    <tabular pivotCacheId="493687774">
      <items count="5">
        <i x="4" s="1"/>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880800C-8034-47A4-8EAF-B9E33CED0ADD}" sourceName="Category">
  <pivotTables>
    <pivotTable tabId="8" name="Sales value by distributor"/>
    <pivotTable tabId="8" name="Sales by Category"/>
    <pivotTable tabId="8" name="Sales by SKU"/>
  </pivotTables>
  <data>
    <tabular pivotCacheId="493687774">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U" xr10:uid="{E2F80B96-6A42-4709-B2DA-1EF894C56CBD}" sourceName="SKU">
  <pivotTables>
    <pivotTable tabId="8" name="Sales by SKU"/>
  </pivotTables>
  <data>
    <tabular pivotCacheId="493687774">
      <items count="6">
        <i x="2" s="1"/>
        <i x="4" s="1"/>
        <i x="3" s="1"/>
        <i x="1" s="1"/>
        <i x="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butor_Clean" xr10:uid="{FAD108C9-63B5-4373-B95E-88E8F2B42695}" cache="Slicer_Distributor_Clean" caption="Distributor_Clean" style="SlicerStyleDark1" rowHeight="180000"/>
  <slicer name="Beat" xr10:uid="{D328006C-4B0D-480D-8FFC-BCE9298B31D7}" cache="Slicer_Beat" caption="Beat" style="SlicerStyleDark1" rowHeight="144000"/>
  <slicer name="Category" xr10:uid="{78F67929-D8F0-4953-A9E4-29E454AD56C3}" cache="Slicer_Category" caption="Category" style="SlicerStyleDark1" rowHeight="180000"/>
  <slicer name="SKU" xr10:uid="{C6F27D8A-689E-4C96-AED7-DA8B7919660D}" cache="Slicer_SKU" caption="SKU"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1"/>
  <sheetViews>
    <sheetView workbookViewId="0">
      <selection activeCell="G17" sqref="G17"/>
    </sheetView>
  </sheetViews>
  <sheetFormatPr defaultRowHeight="14.4"/>
  <cols>
    <col min="1" max="1" width="12" customWidth="1"/>
    <col min="2" max="2" width="29" customWidth="1"/>
    <col min="3" max="3" width="11" customWidth="1"/>
    <col min="4" max="4" width="24" customWidth="1"/>
    <col min="5" max="5" width="9" customWidth="1"/>
    <col min="6" max="6" width="32" customWidth="1"/>
    <col min="7" max="8" width="10" customWidth="1"/>
    <col min="9" max="9" width="12" customWidth="1"/>
    <col min="10" max="10" width="13" customWidth="1"/>
  </cols>
  <sheetData>
    <row r="1" spans="1:10">
      <c r="A1" t="s">
        <v>0</v>
      </c>
      <c r="B1" t="s">
        <v>1</v>
      </c>
      <c r="C1" t="s">
        <v>2</v>
      </c>
      <c r="D1" t="s">
        <v>3</v>
      </c>
      <c r="E1" t="s">
        <v>4</v>
      </c>
      <c r="F1" t="s">
        <v>5</v>
      </c>
      <c r="G1" t="s">
        <v>6</v>
      </c>
      <c r="H1" t="s">
        <v>7</v>
      </c>
      <c r="I1" t="s">
        <v>8</v>
      </c>
      <c r="J1" t="s">
        <v>9</v>
      </c>
    </row>
    <row r="2" spans="1:10">
      <c r="A2" t="s">
        <v>10</v>
      </c>
      <c r="B2" t="s">
        <v>11</v>
      </c>
      <c r="C2" t="s">
        <v>12</v>
      </c>
      <c r="D2" t="s">
        <v>13</v>
      </c>
      <c r="E2" t="s">
        <v>14</v>
      </c>
      <c r="F2" t="s">
        <v>15</v>
      </c>
      <c r="G2" t="s">
        <v>16</v>
      </c>
      <c r="H2">
        <v>25</v>
      </c>
      <c r="I2">
        <v>741</v>
      </c>
      <c r="J2">
        <v>18525</v>
      </c>
    </row>
    <row r="3" spans="1:10">
      <c r="A3" t="s">
        <v>17</v>
      </c>
      <c r="B3" t="s">
        <v>18</v>
      </c>
      <c r="C3" t="s">
        <v>19</v>
      </c>
      <c r="D3" t="s">
        <v>20</v>
      </c>
      <c r="E3" t="s">
        <v>21</v>
      </c>
      <c r="F3" t="s">
        <v>22</v>
      </c>
      <c r="G3" t="s">
        <v>23</v>
      </c>
      <c r="H3">
        <v>15</v>
      </c>
      <c r="I3">
        <v>410</v>
      </c>
      <c r="J3">
        <v>6150</v>
      </c>
    </row>
    <row r="4" spans="1:10">
      <c r="A4" t="s">
        <v>24</v>
      </c>
      <c r="B4" t="s">
        <v>25</v>
      </c>
      <c r="C4" t="s">
        <v>26</v>
      </c>
      <c r="D4" t="s">
        <v>27</v>
      </c>
      <c r="E4" t="s">
        <v>14</v>
      </c>
      <c r="F4" t="s">
        <v>28</v>
      </c>
      <c r="G4" t="s">
        <v>23</v>
      </c>
      <c r="I4">
        <v>287</v>
      </c>
    </row>
    <row r="5" spans="1:10">
      <c r="A5" t="s">
        <v>29</v>
      </c>
      <c r="B5" t="s">
        <v>30</v>
      </c>
      <c r="C5" t="s">
        <v>31</v>
      </c>
      <c r="D5" t="s">
        <v>20</v>
      </c>
      <c r="E5" t="s">
        <v>32</v>
      </c>
      <c r="F5" t="s">
        <v>33</v>
      </c>
      <c r="G5" t="s">
        <v>23</v>
      </c>
      <c r="H5">
        <v>2</v>
      </c>
      <c r="I5">
        <v>407</v>
      </c>
      <c r="J5">
        <v>814</v>
      </c>
    </row>
    <row r="6" spans="1:10">
      <c r="A6" t="s">
        <v>34</v>
      </c>
      <c r="B6" t="s">
        <v>11</v>
      </c>
      <c r="C6" t="s">
        <v>35</v>
      </c>
      <c r="D6" t="s">
        <v>36</v>
      </c>
      <c r="E6" t="s">
        <v>14</v>
      </c>
      <c r="F6" t="s">
        <v>33</v>
      </c>
      <c r="G6" t="s">
        <v>23</v>
      </c>
      <c r="H6">
        <v>15</v>
      </c>
      <c r="I6">
        <v>385</v>
      </c>
      <c r="J6">
        <v>5775</v>
      </c>
    </row>
    <row r="7" spans="1:10">
      <c r="A7" t="s">
        <v>37</v>
      </c>
      <c r="B7" t="s">
        <v>38</v>
      </c>
      <c r="C7" t="s">
        <v>39</v>
      </c>
      <c r="D7" t="s">
        <v>40</v>
      </c>
      <c r="E7" t="s">
        <v>41</v>
      </c>
      <c r="F7" t="s">
        <v>42</v>
      </c>
      <c r="G7" t="s">
        <v>23</v>
      </c>
      <c r="H7">
        <v>12</v>
      </c>
      <c r="I7">
        <v>425</v>
      </c>
      <c r="J7">
        <v>5100</v>
      </c>
    </row>
    <row r="8" spans="1:10">
      <c r="A8" t="s">
        <v>43</v>
      </c>
      <c r="B8" t="s">
        <v>44</v>
      </c>
      <c r="C8" t="s">
        <v>45</v>
      </c>
      <c r="D8" t="s">
        <v>46</v>
      </c>
      <c r="E8" t="s">
        <v>14</v>
      </c>
      <c r="F8" t="s">
        <v>22</v>
      </c>
      <c r="G8" t="s">
        <v>23</v>
      </c>
      <c r="H8">
        <v>23</v>
      </c>
      <c r="I8">
        <v>408</v>
      </c>
      <c r="J8">
        <v>9384</v>
      </c>
    </row>
    <row r="9" spans="1:10">
      <c r="A9" t="s">
        <v>47</v>
      </c>
      <c r="B9" t="s">
        <v>30</v>
      </c>
      <c r="C9" t="s">
        <v>48</v>
      </c>
      <c r="D9" t="s">
        <v>49</v>
      </c>
      <c r="E9" t="s">
        <v>50</v>
      </c>
      <c r="F9" t="s">
        <v>22</v>
      </c>
      <c r="G9" t="s">
        <v>23</v>
      </c>
      <c r="H9">
        <v>21</v>
      </c>
      <c r="I9">
        <v>420</v>
      </c>
      <c r="J9">
        <v>8820</v>
      </c>
    </row>
    <row r="10" spans="1:10">
      <c r="A10" t="s">
        <v>51</v>
      </c>
      <c r="B10" t="s">
        <v>52</v>
      </c>
      <c r="C10" t="s">
        <v>53</v>
      </c>
      <c r="D10" t="s">
        <v>54</v>
      </c>
      <c r="E10" t="s">
        <v>50</v>
      </c>
      <c r="F10" t="s">
        <v>28</v>
      </c>
      <c r="G10" t="s">
        <v>23</v>
      </c>
      <c r="H10">
        <v>21</v>
      </c>
      <c r="I10">
        <v>297</v>
      </c>
      <c r="J10">
        <v>6237</v>
      </c>
    </row>
    <row r="11" spans="1:10">
      <c r="A11" t="s">
        <v>55</v>
      </c>
      <c r="B11" t="s">
        <v>11</v>
      </c>
      <c r="C11" t="s">
        <v>56</v>
      </c>
      <c r="D11" t="s">
        <v>57</v>
      </c>
      <c r="E11" t="s">
        <v>32</v>
      </c>
      <c r="F11" t="s">
        <v>58</v>
      </c>
      <c r="G11" t="s">
        <v>23</v>
      </c>
      <c r="H11">
        <v>16</v>
      </c>
      <c r="I11">
        <v>475</v>
      </c>
      <c r="J11">
        <v>7600</v>
      </c>
    </row>
    <row r="12" spans="1:10">
      <c r="A12" t="s">
        <v>59</v>
      </c>
      <c r="B12" t="s">
        <v>44</v>
      </c>
      <c r="C12" t="s">
        <v>60</v>
      </c>
      <c r="D12" t="s">
        <v>49</v>
      </c>
      <c r="E12" t="s">
        <v>32</v>
      </c>
      <c r="F12" t="s">
        <v>28</v>
      </c>
      <c r="G12" t="s">
        <v>23</v>
      </c>
      <c r="H12">
        <v>7</v>
      </c>
      <c r="I12">
        <v>280</v>
      </c>
      <c r="J12">
        <v>1960</v>
      </c>
    </row>
    <row r="13" spans="1:10">
      <c r="A13" t="s">
        <v>61</v>
      </c>
      <c r="B13" t="s">
        <v>38</v>
      </c>
      <c r="C13" t="s">
        <v>62</v>
      </c>
      <c r="D13" t="s">
        <v>63</v>
      </c>
      <c r="E13" t="s">
        <v>14</v>
      </c>
      <c r="F13" t="s">
        <v>58</v>
      </c>
      <c r="G13" t="s">
        <v>23</v>
      </c>
      <c r="H13">
        <v>19</v>
      </c>
      <c r="I13">
        <v>477</v>
      </c>
      <c r="J13">
        <v>9063</v>
      </c>
    </row>
    <row r="14" spans="1:10">
      <c r="A14" t="s">
        <v>64</v>
      </c>
      <c r="B14" t="s">
        <v>18</v>
      </c>
      <c r="C14" t="s">
        <v>65</v>
      </c>
      <c r="D14" t="s">
        <v>66</v>
      </c>
      <c r="E14" t="s">
        <v>41</v>
      </c>
      <c r="F14" t="s">
        <v>22</v>
      </c>
      <c r="G14" t="s">
        <v>23</v>
      </c>
      <c r="H14">
        <v>9</v>
      </c>
      <c r="I14">
        <v>401</v>
      </c>
      <c r="J14">
        <v>3609</v>
      </c>
    </row>
    <row r="15" spans="1:10">
      <c r="A15" t="s">
        <v>67</v>
      </c>
      <c r="B15" t="s">
        <v>11</v>
      </c>
      <c r="C15" t="s">
        <v>68</v>
      </c>
      <c r="D15" t="s">
        <v>36</v>
      </c>
      <c r="E15" t="s">
        <v>50</v>
      </c>
      <c r="F15" t="s">
        <v>15</v>
      </c>
      <c r="G15" t="s">
        <v>16</v>
      </c>
      <c r="H15">
        <v>10</v>
      </c>
      <c r="I15">
        <v>749</v>
      </c>
      <c r="J15">
        <v>7490</v>
      </c>
    </row>
    <row r="16" spans="1:10">
      <c r="A16" t="s">
        <v>69</v>
      </c>
      <c r="B16" t="s">
        <v>44</v>
      </c>
      <c r="C16" t="s">
        <v>70</v>
      </c>
      <c r="D16" t="s">
        <v>71</v>
      </c>
      <c r="E16" t="s">
        <v>50</v>
      </c>
      <c r="F16" t="s">
        <v>42</v>
      </c>
      <c r="G16" t="s">
        <v>23</v>
      </c>
      <c r="H16">
        <v>10</v>
      </c>
      <c r="I16">
        <v>417</v>
      </c>
      <c r="J16">
        <v>4170</v>
      </c>
    </row>
    <row r="17" spans="1:10">
      <c r="A17" t="s">
        <v>72</v>
      </c>
      <c r="B17" t="s">
        <v>73</v>
      </c>
      <c r="C17" t="s">
        <v>74</v>
      </c>
      <c r="D17" t="s">
        <v>36</v>
      </c>
      <c r="E17" t="s">
        <v>41</v>
      </c>
      <c r="F17" t="s">
        <v>28</v>
      </c>
      <c r="G17" t="s">
        <v>23</v>
      </c>
      <c r="H17">
        <v>12</v>
      </c>
      <c r="I17">
        <v>281</v>
      </c>
      <c r="J17">
        <v>3372</v>
      </c>
    </row>
    <row r="18" spans="1:10">
      <c r="A18" t="s">
        <v>75</v>
      </c>
      <c r="B18" t="s">
        <v>52</v>
      </c>
      <c r="C18" t="s">
        <v>76</v>
      </c>
      <c r="D18" t="s">
        <v>77</v>
      </c>
      <c r="E18" t="s">
        <v>41</v>
      </c>
      <c r="F18" t="s">
        <v>15</v>
      </c>
      <c r="G18" t="s">
        <v>16</v>
      </c>
      <c r="H18">
        <v>12</v>
      </c>
      <c r="I18">
        <v>744</v>
      </c>
      <c r="J18">
        <v>8928</v>
      </c>
    </row>
    <row r="19" spans="1:10">
      <c r="A19" t="s">
        <v>78</v>
      </c>
      <c r="B19" t="s">
        <v>44</v>
      </c>
      <c r="C19" t="s">
        <v>79</v>
      </c>
      <c r="D19" t="s">
        <v>80</v>
      </c>
      <c r="E19" t="s">
        <v>32</v>
      </c>
      <c r="F19" t="s">
        <v>58</v>
      </c>
      <c r="G19" t="s">
        <v>23</v>
      </c>
      <c r="H19">
        <v>16</v>
      </c>
      <c r="I19">
        <v>451</v>
      </c>
      <c r="J19">
        <v>7216</v>
      </c>
    </row>
    <row r="20" spans="1:10">
      <c r="A20" t="s">
        <v>81</v>
      </c>
      <c r="B20" t="s">
        <v>25</v>
      </c>
      <c r="C20" t="s">
        <v>82</v>
      </c>
      <c r="D20" t="s">
        <v>83</v>
      </c>
      <c r="E20" t="s">
        <v>41</v>
      </c>
      <c r="F20" t="s">
        <v>15</v>
      </c>
      <c r="G20" t="s">
        <v>16</v>
      </c>
      <c r="H20">
        <v>11</v>
      </c>
      <c r="I20">
        <v>754</v>
      </c>
      <c r="J20">
        <v>8294</v>
      </c>
    </row>
    <row r="21" spans="1:10">
      <c r="A21" t="s">
        <v>84</v>
      </c>
      <c r="B21" t="s">
        <v>11</v>
      </c>
      <c r="C21" t="s">
        <v>85</v>
      </c>
      <c r="D21" t="s">
        <v>86</v>
      </c>
      <c r="E21" t="s">
        <v>32</v>
      </c>
      <c r="F21" t="s">
        <v>28</v>
      </c>
      <c r="G21" t="s">
        <v>23</v>
      </c>
      <c r="H21">
        <v>12</v>
      </c>
      <c r="I21">
        <v>286</v>
      </c>
      <c r="J21">
        <v>3432</v>
      </c>
    </row>
    <row r="22" spans="1:10">
      <c r="A22" t="s">
        <v>87</v>
      </c>
      <c r="B22" t="s">
        <v>88</v>
      </c>
      <c r="C22" t="s">
        <v>89</v>
      </c>
      <c r="D22" t="s">
        <v>90</v>
      </c>
      <c r="E22" t="s">
        <v>50</v>
      </c>
      <c r="F22" t="s">
        <v>28</v>
      </c>
      <c r="G22" t="s">
        <v>23</v>
      </c>
      <c r="H22">
        <v>1</v>
      </c>
      <c r="I22">
        <v>288</v>
      </c>
      <c r="J22">
        <v>288</v>
      </c>
    </row>
    <row r="23" spans="1:10">
      <c r="A23" t="s">
        <v>91</v>
      </c>
      <c r="B23" t="s">
        <v>11</v>
      </c>
      <c r="C23" t="s">
        <v>92</v>
      </c>
      <c r="D23" t="s">
        <v>93</v>
      </c>
      <c r="E23" t="s">
        <v>14</v>
      </c>
      <c r="F23" t="s">
        <v>58</v>
      </c>
      <c r="G23" t="s">
        <v>23</v>
      </c>
      <c r="H23">
        <v>12</v>
      </c>
      <c r="I23">
        <v>473</v>
      </c>
      <c r="J23">
        <v>5676</v>
      </c>
    </row>
    <row r="24" spans="1:10">
      <c r="A24" t="s">
        <v>94</v>
      </c>
      <c r="B24" t="s">
        <v>95</v>
      </c>
      <c r="C24" t="s">
        <v>96</v>
      </c>
      <c r="D24" t="s">
        <v>97</v>
      </c>
      <c r="E24" t="s">
        <v>21</v>
      </c>
      <c r="F24" t="s">
        <v>33</v>
      </c>
      <c r="G24" t="s">
        <v>23</v>
      </c>
      <c r="H24">
        <v>24</v>
      </c>
      <c r="I24">
        <v>388</v>
      </c>
      <c r="J24">
        <v>9312</v>
      </c>
    </row>
    <row r="25" spans="1:10">
      <c r="A25" t="s">
        <v>98</v>
      </c>
      <c r="B25" t="s">
        <v>88</v>
      </c>
      <c r="C25" t="s">
        <v>99</v>
      </c>
      <c r="D25" t="s">
        <v>100</v>
      </c>
      <c r="E25" t="s">
        <v>14</v>
      </c>
      <c r="F25" t="s">
        <v>42</v>
      </c>
      <c r="G25" t="s">
        <v>23</v>
      </c>
      <c r="H25">
        <v>15</v>
      </c>
      <c r="I25">
        <v>427</v>
      </c>
      <c r="J25">
        <v>6405</v>
      </c>
    </row>
    <row r="26" spans="1:10">
      <c r="A26" t="s">
        <v>101</v>
      </c>
      <c r="B26" t="s">
        <v>52</v>
      </c>
      <c r="C26" t="s">
        <v>102</v>
      </c>
      <c r="D26" t="s">
        <v>103</v>
      </c>
      <c r="E26" t="s">
        <v>14</v>
      </c>
      <c r="F26" t="s">
        <v>42</v>
      </c>
      <c r="G26" t="s">
        <v>23</v>
      </c>
      <c r="H26">
        <v>12</v>
      </c>
      <c r="I26">
        <v>410</v>
      </c>
      <c r="J26">
        <v>4920</v>
      </c>
    </row>
    <row r="27" spans="1:10">
      <c r="A27" t="s">
        <v>104</v>
      </c>
      <c r="B27" t="s">
        <v>18</v>
      </c>
      <c r="C27" t="s">
        <v>105</v>
      </c>
      <c r="D27" t="s">
        <v>106</v>
      </c>
      <c r="E27" t="s">
        <v>50</v>
      </c>
      <c r="F27" t="s">
        <v>58</v>
      </c>
      <c r="G27" t="s">
        <v>23</v>
      </c>
      <c r="H27">
        <v>3</v>
      </c>
      <c r="I27">
        <v>453</v>
      </c>
      <c r="J27">
        <v>1359</v>
      </c>
    </row>
    <row r="28" spans="1:10">
      <c r="A28" t="s">
        <v>107</v>
      </c>
      <c r="B28" t="s">
        <v>108</v>
      </c>
      <c r="C28" t="s">
        <v>48</v>
      </c>
      <c r="D28" t="s">
        <v>49</v>
      </c>
      <c r="E28" t="s">
        <v>50</v>
      </c>
      <c r="F28" t="s">
        <v>42</v>
      </c>
      <c r="G28" t="s">
        <v>23</v>
      </c>
      <c r="H28">
        <v>24</v>
      </c>
      <c r="I28">
        <v>439</v>
      </c>
      <c r="J28">
        <v>10536</v>
      </c>
    </row>
    <row r="29" spans="1:10">
      <c r="A29" t="s">
        <v>109</v>
      </c>
      <c r="B29" t="s">
        <v>52</v>
      </c>
      <c r="C29" t="s">
        <v>26</v>
      </c>
      <c r="D29" t="s">
        <v>27</v>
      </c>
      <c r="E29" t="s">
        <v>14</v>
      </c>
      <c r="F29" t="s">
        <v>22</v>
      </c>
      <c r="G29" t="s">
        <v>23</v>
      </c>
      <c r="H29">
        <v>21</v>
      </c>
      <c r="I29">
        <v>422</v>
      </c>
      <c r="J29">
        <v>8862</v>
      </c>
    </row>
    <row r="30" spans="1:10">
      <c r="A30" t="s">
        <v>55</v>
      </c>
      <c r="B30" t="s">
        <v>110</v>
      </c>
      <c r="C30" t="s">
        <v>111</v>
      </c>
      <c r="D30" t="s">
        <v>112</v>
      </c>
      <c r="E30" t="s">
        <v>50</v>
      </c>
      <c r="F30" t="s">
        <v>15</v>
      </c>
      <c r="G30" t="s">
        <v>16</v>
      </c>
      <c r="H30">
        <v>22</v>
      </c>
      <c r="I30">
        <v>742</v>
      </c>
      <c r="J30">
        <v>16324</v>
      </c>
    </row>
    <row r="31" spans="1:10">
      <c r="A31" t="s">
        <v>113</v>
      </c>
      <c r="B31" t="s">
        <v>38</v>
      </c>
      <c r="C31" t="s">
        <v>114</v>
      </c>
      <c r="D31" t="s">
        <v>115</v>
      </c>
      <c r="E31" t="s">
        <v>41</v>
      </c>
      <c r="F31" t="s">
        <v>22</v>
      </c>
      <c r="G31" t="s">
        <v>23</v>
      </c>
      <c r="H31">
        <v>23</v>
      </c>
      <c r="I31">
        <v>401</v>
      </c>
      <c r="J31">
        <v>9223</v>
      </c>
    </row>
    <row r="32" spans="1:10">
      <c r="A32" t="s">
        <v>116</v>
      </c>
      <c r="B32" t="s">
        <v>110</v>
      </c>
      <c r="C32" t="s">
        <v>117</v>
      </c>
      <c r="D32" t="s">
        <v>118</v>
      </c>
      <c r="E32" t="s">
        <v>21</v>
      </c>
      <c r="F32" t="s">
        <v>22</v>
      </c>
      <c r="G32" t="s">
        <v>23</v>
      </c>
      <c r="H32">
        <v>18</v>
      </c>
      <c r="I32">
        <v>420</v>
      </c>
      <c r="J32">
        <v>7560</v>
      </c>
    </row>
    <row r="33" spans="1:10">
      <c r="A33" t="s">
        <v>119</v>
      </c>
      <c r="B33" t="s">
        <v>120</v>
      </c>
      <c r="C33" t="s">
        <v>121</v>
      </c>
      <c r="D33" t="s">
        <v>63</v>
      </c>
      <c r="E33" t="s">
        <v>14</v>
      </c>
      <c r="F33" t="s">
        <v>15</v>
      </c>
      <c r="G33" t="s">
        <v>16</v>
      </c>
      <c r="H33">
        <v>16</v>
      </c>
      <c r="I33">
        <v>739</v>
      </c>
      <c r="J33">
        <v>11824</v>
      </c>
    </row>
    <row r="34" spans="1:10">
      <c r="A34" t="s">
        <v>122</v>
      </c>
      <c r="B34" t="s">
        <v>108</v>
      </c>
      <c r="C34" t="s">
        <v>70</v>
      </c>
      <c r="D34" t="s">
        <v>71</v>
      </c>
      <c r="E34" t="s">
        <v>50</v>
      </c>
      <c r="F34" t="s">
        <v>58</v>
      </c>
      <c r="G34" t="s">
        <v>23</v>
      </c>
      <c r="H34">
        <v>25</v>
      </c>
      <c r="I34">
        <v>456</v>
      </c>
      <c r="J34">
        <v>11400</v>
      </c>
    </row>
    <row r="35" spans="1:10">
      <c r="A35" t="s">
        <v>123</v>
      </c>
      <c r="B35" t="s">
        <v>11</v>
      </c>
      <c r="C35" t="s">
        <v>35</v>
      </c>
      <c r="D35" t="s">
        <v>36</v>
      </c>
      <c r="E35" t="s">
        <v>14</v>
      </c>
      <c r="F35" t="s">
        <v>22</v>
      </c>
      <c r="G35" t="s">
        <v>23</v>
      </c>
      <c r="H35">
        <v>3</v>
      </c>
      <c r="I35">
        <v>408</v>
      </c>
      <c r="J35">
        <v>1224</v>
      </c>
    </row>
    <row r="36" spans="1:10">
      <c r="A36" t="s">
        <v>124</v>
      </c>
      <c r="B36" t="s">
        <v>120</v>
      </c>
      <c r="C36" t="s">
        <v>125</v>
      </c>
      <c r="D36" t="s">
        <v>112</v>
      </c>
      <c r="E36" t="s">
        <v>32</v>
      </c>
      <c r="F36" t="s">
        <v>28</v>
      </c>
      <c r="G36" t="s">
        <v>23</v>
      </c>
      <c r="H36">
        <v>4</v>
      </c>
      <c r="I36">
        <v>277</v>
      </c>
      <c r="J36">
        <v>1108</v>
      </c>
    </row>
    <row r="37" spans="1:10">
      <c r="A37" t="s">
        <v>126</v>
      </c>
      <c r="B37" t="s">
        <v>88</v>
      </c>
      <c r="C37" t="s">
        <v>53</v>
      </c>
      <c r="D37" t="s">
        <v>54</v>
      </c>
      <c r="E37" t="s">
        <v>50</v>
      </c>
      <c r="F37" t="s">
        <v>28</v>
      </c>
      <c r="G37" t="s">
        <v>23</v>
      </c>
      <c r="H37">
        <v>25</v>
      </c>
      <c r="I37">
        <v>283</v>
      </c>
      <c r="J37">
        <v>7075</v>
      </c>
    </row>
    <row r="38" spans="1:10">
      <c r="A38" t="s">
        <v>84</v>
      </c>
      <c r="B38" t="s">
        <v>38</v>
      </c>
      <c r="C38" t="s">
        <v>127</v>
      </c>
      <c r="D38" t="s">
        <v>128</v>
      </c>
      <c r="E38" t="s">
        <v>41</v>
      </c>
      <c r="F38" t="s">
        <v>28</v>
      </c>
      <c r="G38" t="s">
        <v>23</v>
      </c>
      <c r="H38">
        <v>6</v>
      </c>
      <c r="I38">
        <v>300</v>
      </c>
      <c r="J38">
        <v>1800</v>
      </c>
    </row>
    <row r="39" spans="1:10">
      <c r="A39" t="s">
        <v>129</v>
      </c>
      <c r="B39" t="s">
        <v>18</v>
      </c>
      <c r="C39" t="s">
        <v>130</v>
      </c>
      <c r="D39" t="s">
        <v>131</v>
      </c>
      <c r="E39" t="s">
        <v>50</v>
      </c>
      <c r="F39" t="s">
        <v>28</v>
      </c>
      <c r="G39" t="s">
        <v>23</v>
      </c>
      <c r="H39">
        <v>17</v>
      </c>
      <c r="I39">
        <v>296</v>
      </c>
      <c r="J39">
        <v>5032</v>
      </c>
    </row>
    <row r="40" spans="1:10">
      <c r="A40" t="s">
        <v>132</v>
      </c>
      <c r="B40" t="s">
        <v>88</v>
      </c>
      <c r="C40" t="s">
        <v>102</v>
      </c>
      <c r="D40" t="s">
        <v>103</v>
      </c>
      <c r="E40" t="s">
        <v>14</v>
      </c>
      <c r="F40" t="s">
        <v>22</v>
      </c>
      <c r="G40" t="s">
        <v>23</v>
      </c>
      <c r="H40">
        <v>15</v>
      </c>
      <c r="I40">
        <v>410</v>
      </c>
      <c r="J40">
        <v>6150</v>
      </c>
    </row>
    <row r="41" spans="1:10">
      <c r="A41" t="s">
        <v>133</v>
      </c>
      <c r="B41" t="s">
        <v>95</v>
      </c>
      <c r="C41" t="s">
        <v>96</v>
      </c>
      <c r="D41" t="s">
        <v>97</v>
      </c>
      <c r="E41" t="s">
        <v>21</v>
      </c>
      <c r="F41" t="s">
        <v>33</v>
      </c>
      <c r="G41" t="s">
        <v>23</v>
      </c>
      <c r="H41">
        <v>8</v>
      </c>
      <c r="I41">
        <v>401</v>
      </c>
      <c r="J41">
        <v>3208</v>
      </c>
    </row>
    <row r="42" spans="1:10">
      <c r="A42" t="s">
        <v>101</v>
      </c>
      <c r="B42" t="s">
        <v>110</v>
      </c>
      <c r="C42" t="s">
        <v>134</v>
      </c>
      <c r="D42" t="s">
        <v>106</v>
      </c>
      <c r="E42" t="s">
        <v>41</v>
      </c>
      <c r="F42" t="s">
        <v>22</v>
      </c>
      <c r="G42" t="s">
        <v>23</v>
      </c>
      <c r="H42">
        <v>10</v>
      </c>
      <c r="I42">
        <v>395</v>
      </c>
      <c r="J42">
        <v>3950</v>
      </c>
    </row>
    <row r="43" spans="1:10">
      <c r="A43" t="s">
        <v>135</v>
      </c>
      <c r="B43" t="s">
        <v>73</v>
      </c>
      <c r="C43" t="s">
        <v>136</v>
      </c>
      <c r="D43" t="s">
        <v>137</v>
      </c>
      <c r="E43" t="s">
        <v>14</v>
      </c>
      <c r="F43" t="s">
        <v>28</v>
      </c>
      <c r="G43" t="s">
        <v>23</v>
      </c>
      <c r="H43">
        <v>5</v>
      </c>
      <c r="I43">
        <v>295</v>
      </c>
      <c r="J43">
        <v>1475</v>
      </c>
    </row>
    <row r="44" spans="1:10">
      <c r="A44" t="s">
        <v>138</v>
      </c>
      <c r="B44" t="s">
        <v>139</v>
      </c>
      <c r="C44" t="s">
        <v>140</v>
      </c>
      <c r="D44" t="s">
        <v>118</v>
      </c>
      <c r="E44" t="s">
        <v>50</v>
      </c>
      <c r="F44" t="s">
        <v>58</v>
      </c>
      <c r="G44" t="s">
        <v>23</v>
      </c>
      <c r="H44">
        <v>15</v>
      </c>
      <c r="I44">
        <v>475</v>
      </c>
      <c r="J44">
        <v>7125</v>
      </c>
    </row>
    <row r="45" spans="1:10">
      <c r="A45" t="s">
        <v>141</v>
      </c>
      <c r="B45" t="s">
        <v>88</v>
      </c>
      <c r="C45" t="s">
        <v>142</v>
      </c>
      <c r="D45" t="s">
        <v>137</v>
      </c>
      <c r="E45" t="s">
        <v>41</v>
      </c>
      <c r="F45" t="s">
        <v>42</v>
      </c>
      <c r="G45" t="s">
        <v>23</v>
      </c>
      <c r="H45">
        <v>23</v>
      </c>
      <c r="I45">
        <v>434</v>
      </c>
      <c r="J45">
        <v>9982</v>
      </c>
    </row>
    <row r="46" spans="1:10">
      <c r="A46" t="s">
        <v>143</v>
      </c>
      <c r="B46" t="s">
        <v>95</v>
      </c>
      <c r="C46" t="s">
        <v>144</v>
      </c>
      <c r="D46" t="s">
        <v>118</v>
      </c>
      <c r="E46" t="s">
        <v>50</v>
      </c>
      <c r="F46" t="s">
        <v>22</v>
      </c>
      <c r="G46" t="s">
        <v>23</v>
      </c>
      <c r="H46">
        <v>20</v>
      </c>
      <c r="I46">
        <v>399</v>
      </c>
      <c r="J46">
        <v>7980</v>
      </c>
    </row>
    <row r="47" spans="1:10">
      <c r="A47" t="s">
        <v>145</v>
      </c>
      <c r="B47" t="s">
        <v>30</v>
      </c>
      <c r="C47" t="s">
        <v>70</v>
      </c>
      <c r="D47" t="s">
        <v>71</v>
      </c>
      <c r="E47" t="s">
        <v>50</v>
      </c>
      <c r="F47" t="s">
        <v>58</v>
      </c>
      <c r="G47" t="s">
        <v>23</v>
      </c>
      <c r="H47">
        <v>18</v>
      </c>
      <c r="I47">
        <v>466</v>
      </c>
      <c r="J47">
        <v>8388</v>
      </c>
    </row>
    <row r="48" spans="1:10">
      <c r="A48" t="s">
        <v>146</v>
      </c>
      <c r="B48" t="s">
        <v>44</v>
      </c>
      <c r="C48" t="s">
        <v>147</v>
      </c>
      <c r="D48" t="s">
        <v>49</v>
      </c>
      <c r="E48" t="s">
        <v>21</v>
      </c>
      <c r="F48" t="s">
        <v>15</v>
      </c>
      <c r="G48" t="s">
        <v>16</v>
      </c>
      <c r="H48">
        <v>5</v>
      </c>
      <c r="I48">
        <v>755</v>
      </c>
      <c r="J48">
        <v>3775</v>
      </c>
    </row>
    <row r="49" spans="1:10">
      <c r="A49" t="s">
        <v>148</v>
      </c>
      <c r="B49" t="s">
        <v>120</v>
      </c>
      <c r="C49" t="s">
        <v>149</v>
      </c>
      <c r="D49" t="s">
        <v>115</v>
      </c>
      <c r="E49" t="s">
        <v>50</v>
      </c>
      <c r="F49" t="s">
        <v>150</v>
      </c>
      <c r="G49" t="s">
        <v>23</v>
      </c>
      <c r="H49">
        <v>5</v>
      </c>
      <c r="I49">
        <v>465</v>
      </c>
      <c r="J49">
        <v>2325</v>
      </c>
    </row>
    <row r="50" spans="1:10">
      <c r="A50" t="s">
        <v>34</v>
      </c>
      <c r="B50" t="s">
        <v>73</v>
      </c>
      <c r="C50" t="s">
        <v>151</v>
      </c>
      <c r="D50" t="s">
        <v>152</v>
      </c>
      <c r="E50" t="s">
        <v>50</v>
      </c>
      <c r="F50" t="s">
        <v>22</v>
      </c>
      <c r="G50" t="s">
        <v>23</v>
      </c>
      <c r="H50">
        <v>7</v>
      </c>
      <c r="I50">
        <v>419</v>
      </c>
      <c r="J50">
        <v>2933</v>
      </c>
    </row>
    <row r="51" spans="1:10">
      <c r="A51" t="s">
        <v>153</v>
      </c>
      <c r="B51" t="s">
        <v>110</v>
      </c>
      <c r="C51" t="s">
        <v>154</v>
      </c>
      <c r="D51" t="s">
        <v>71</v>
      </c>
      <c r="E51" t="s">
        <v>50</v>
      </c>
      <c r="F51" t="s">
        <v>58</v>
      </c>
      <c r="G51" t="s">
        <v>23</v>
      </c>
      <c r="H51">
        <v>25</v>
      </c>
      <c r="I51">
        <v>460</v>
      </c>
      <c r="J51">
        <v>11500</v>
      </c>
    </row>
    <row r="52" spans="1:10">
      <c r="A52" t="s">
        <v>155</v>
      </c>
      <c r="B52" t="s">
        <v>52</v>
      </c>
      <c r="C52" t="s">
        <v>156</v>
      </c>
      <c r="D52" t="s">
        <v>80</v>
      </c>
      <c r="E52" t="s">
        <v>32</v>
      </c>
      <c r="F52" t="s">
        <v>28</v>
      </c>
      <c r="G52" t="s">
        <v>23</v>
      </c>
      <c r="H52">
        <v>16</v>
      </c>
      <c r="I52">
        <v>278</v>
      </c>
      <c r="J52">
        <v>4448</v>
      </c>
    </row>
    <row r="53" spans="1:10">
      <c r="A53" t="s">
        <v>157</v>
      </c>
      <c r="B53" t="s">
        <v>95</v>
      </c>
      <c r="C53" t="s">
        <v>117</v>
      </c>
      <c r="D53" t="s">
        <v>118</v>
      </c>
      <c r="E53" t="s">
        <v>21</v>
      </c>
      <c r="F53" t="s">
        <v>58</v>
      </c>
      <c r="G53" t="s">
        <v>23</v>
      </c>
      <c r="H53">
        <v>25</v>
      </c>
      <c r="I53">
        <v>460</v>
      </c>
      <c r="J53">
        <v>11500</v>
      </c>
    </row>
    <row r="54" spans="1:10">
      <c r="A54" t="s">
        <v>158</v>
      </c>
      <c r="B54" t="s">
        <v>11</v>
      </c>
      <c r="C54" t="s">
        <v>159</v>
      </c>
      <c r="D54" t="s">
        <v>160</v>
      </c>
      <c r="E54" t="s">
        <v>50</v>
      </c>
      <c r="F54" t="s">
        <v>28</v>
      </c>
      <c r="G54" t="s">
        <v>23</v>
      </c>
      <c r="H54">
        <v>18</v>
      </c>
      <c r="I54">
        <v>290</v>
      </c>
      <c r="J54">
        <v>5220</v>
      </c>
    </row>
    <row r="55" spans="1:10">
      <c r="A55" t="s">
        <v>161</v>
      </c>
      <c r="B55" t="s">
        <v>95</v>
      </c>
      <c r="C55" t="s">
        <v>19</v>
      </c>
      <c r="D55" t="s">
        <v>20</v>
      </c>
      <c r="E55" t="s">
        <v>21</v>
      </c>
      <c r="F55" t="s">
        <v>22</v>
      </c>
      <c r="G55" t="s">
        <v>23</v>
      </c>
      <c r="H55">
        <v>5</v>
      </c>
      <c r="I55">
        <v>395</v>
      </c>
      <c r="J55">
        <v>1975</v>
      </c>
    </row>
    <row r="56" spans="1:10">
      <c r="A56" t="s">
        <v>132</v>
      </c>
      <c r="B56" t="s">
        <v>11</v>
      </c>
      <c r="C56" t="s">
        <v>121</v>
      </c>
      <c r="D56" t="s">
        <v>63</v>
      </c>
      <c r="E56" t="s">
        <v>14</v>
      </c>
      <c r="F56" t="s">
        <v>33</v>
      </c>
      <c r="G56" t="s">
        <v>23</v>
      </c>
      <c r="H56">
        <v>15</v>
      </c>
      <c r="I56">
        <v>405</v>
      </c>
      <c r="J56">
        <v>6075</v>
      </c>
    </row>
    <row r="57" spans="1:10">
      <c r="A57" t="s">
        <v>69</v>
      </c>
      <c r="B57" t="s">
        <v>52</v>
      </c>
      <c r="C57" t="s">
        <v>53</v>
      </c>
      <c r="D57" t="s">
        <v>54</v>
      </c>
      <c r="E57" t="s">
        <v>50</v>
      </c>
      <c r="F57" t="s">
        <v>33</v>
      </c>
      <c r="G57" t="s">
        <v>23</v>
      </c>
      <c r="H57">
        <v>12</v>
      </c>
      <c r="I57">
        <v>406</v>
      </c>
      <c r="J57">
        <v>4872</v>
      </c>
    </row>
    <row r="58" spans="1:10">
      <c r="A58" t="s">
        <v>55</v>
      </c>
      <c r="B58" t="s">
        <v>38</v>
      </c>
      <c r="C58" t="s">
        <v>114</v>
      </c>
      <c r="D58" t="s">
        <v>115</v>
      </c>
      <c r="E58" t="s">
        <v>41</v>
      </c>
      <c r="F58" t="s">
        <v>22</v>
      </c>
      <c r="G58" t="s">
        <v>23</v>
      </c>
      <c r="H58">
        <v>13</v>
      </c>
      <c r="I58">
        <v>400</v>
      </c>
      <c r="J58">
        <v>5200</v>
      </c>
    </row>
    <row r="59" spans="1:10">
      <c r="A59" t="s">
        <v>162</v>
      </c>
      <c r="B59" t="s">
        <v>88</v>
      </c>
      <c r="C59" t="s">
        <v>163</v>
      </c>
      <c r="D59" t="s">
        <v>164</v>
      </c>
      <c r="E59" t="s">
        <v>32</v>
      </c>
      <c r="F59" t="s">
        <v>58</v>
      </c>
      <c r="G59" t="s">
        <v>23</v>
      </c>
      <c r="H59">
        <v>10</v>
      </c>
      <c r="I59">
        <v>470</v>
      </c>
      <c r="J59">
        <v>4700</v>
      </c>
    </row>
    <row r="60" spans="1:10">
      <c r="A60" t="s">
        <v>165</v>
      </c>
      <c r="B60" t="s">
        <v>38</v>
      </c>
      <c r="C60" t="s">
        <v>166</v>
      </c>
      <c r="D60" t="s">
        <v>106</v>
      </c>
      <c r="E60" t="s">
        <v>14</v>
      </c>
      <c r="F60" t="s">
        <v>22</v>
      </c>
      <c r="G60" t="s">
        <v>23</v>
      </c>
      <c r="H60">
        <v>19</v>
      </c>
      <c r="I60">
        <v>396</v>
      </c>
      <c r="J60">
        <v>7524</v>
      </c>
    </row>
    <row r="61" spans="1:10">
      <c r="A61" t="s">
        <v>167</v>
      </c>
      <c r="B61" t="s">
        <v>25</v>
      </c>
      <c r="C61" t="s">
        <v>168</v>
      </c>
      <c r="D61" t="s">
        <v>115</v>
      </c>
      <c r="E61" t="s">
        <v>41</v>
      </c>
      <c r="F61" t="s">
        <v>42</v>
      </c>
      <c r="G61" t="s">
        <v>23</v>
      </c>
      <c r="H61">
        <v>2</v>
      </c>
      <c r="I61">
        <v>438</v>
      </c>
      <c r="J61">
        <v>876</v>
      </c>
    </row>
    <row r="62" spans="1:10">
      <c r="A62" t="s">
        <v>145</v>
      </c>
      <c r="B62" t="s">
        <v>25</v>
      </c>
      <c r="C62" t="s">
        <v>169</v>
      </c>
      <c r="D62" t="s">
        <v>71</v>
      </c>
      <c r="E62" t="s">
        <v>32</v>
      </c>
      <c r="F62" t="s">
        <v>22</v>
      </c>
      <c r="G62" t="s">
        <v>23</v>
      </c>
      <c r="H62">
        <v>24</v>
      </c>
      <c r="I62">
        <v>409</v>
      </c>
      <c r="J62">
        <v>9816</v>
      </c>
    </row>
    <row r="63" spans="1:10">
      <c r="A63" t="s">
        <v>170</v>
      </c>
      <c r="B63" t="s">
        <v>30</v>
      </c>
      <c r="C63" t="s">
        <v>60</v>
      </c>
      <c r="D63" t="s">
        <v>49</v>
      </c>
      <c r="E63" t="s">
        <v>32</v>
      </c>
      <c r="F63" t="s">
        <v>33</v>
      </c>
      <c r="G63" t="s">
        <v>23</v>
      </c>
      <c r="H63">
        <v>1</v>
      </c>
      <c r="I63">
        <v>385</v>
      </c>
      <c r="J63">
        <v>385</v>
      </c>
    </row>
    <row r="64" spans="1:10">
      <c r="A64" t="s">
        <v>171</v>
      </c>
      <c r="B64" t="s">
        <v>120</v>
      </c>
      <c r="C64" t="s">
        <v>172</v>
      </c>
      <c r="D64" t="s">
        <v>40</v>
      </c>
      <c r="E64" t="s">
        <v>21</v>
      </c>
      <c r="F64" t="s">
        <v>22</v>
      </c>
      <c r="G64" t="s">
        <v>23</v>
      </c>
      <c r="H64">
        <v>4</v>
      </c>
      <c r="I64">
        <v>425</v>
      </c>
      <c r="J64">
        <v>1700</v>
      </c>
    </row>
    <row r="65" spans="1:10">
      <c r="A65" t="s">
        <v>109</v>
      </c>
      <c r="B65" t="s">
        <v>25</v>
      </c>
      <c r="C65" t="s">
        <v>163</v>
      </c>
      <c r="D65" t="s">
        <v>164</v>
      </c>
      <c r="E65" t="s">
        <v>32</v>
      </c>
      <c r="F65" t="s">
        <v>58</v>
      </c>
      <c r="G65" t="s">
        <v>23</v>
      </c>
      <c r="H65">
        <v>8</v>
      </c>
      <c r="I65">
        <v>469</v>
      </c>
      <c r="J65">
        <v>3752</v>
      </c>
    </row>
    <row r="66" spans="1:10">
      <c r="A66" t="s">
        <v>173</v>
      </c>
      <c r="B66" t="s">
        <v>120</v>
      </c>
      <c r="C66" t="s">
        <v>68</v>
      </c>
      <c r="D66" t="s">
        <v>36</v>
      </c>
      <c r="E66" t="s">
        <v>50</v>
      </c>
      <c r="F66" t="s">
        <v>22</v>
      </c>
      <c r="G66" t="s">
        <v>23</v>
      </c>
      <c r="H66">
        <v>17</v>
      </c>
      <c r="I66">
        <v>409</v>
      </c>
      <c r="J66">
        <v>6953</v>
      </c>
    </row>
    <row r="67" spans="1:10">
      <c r="A67" t="s">
        <v>148</v>
      </c>
      <c r="B67" t="s">
        <v>139</v>
      </c>
      <c r="C67" t="s">
        <v>114</v>
      </c>
      <c r="D67" t="s">
        <v>115</v>
      </c>
      <c r="E67" t="s">
        <v>41</v>
      </c>
      <c r="F67" t="s">
        <v>22</v>
      </c>
      <c r="G67" t="s">
        <v>23</v>
      </c>
      <c r="H67">
        <v>1</v>
      </c>
      <c r="I67">
        <v>408</v>
      </c>
      <c r="J67">
        <v>408</v>
      </c>
    </row>
    <row r="68" spans="1:10">
      <c r="A68" t="s">
        <v>64</v>
      </c>
      <c r="B68" t="s">
        <v>108</v>
      </c>
      <c r="C68" t="s">
        <v>174</v>
      </c>
      <c r="D68" t="s">
        <v>46</v>
      </c>
      <c r="E68" t="s">
        <v>21</v>
      </c>
      <c r="F68" t="s">
        <v>42</v>
      </c>
      <c r="G68" t="s">
        <v>23</v>
      </c>
      <c r="H68">
        <v>17</v>
      </c>
      <c r="I68">
        <v>439</v>
      </c>
      <c r="J68">
        <v>7463</v>
      </c>
    </row>
    <row r="69" spans="1:10">
      <c r="A69" t="s">
        <v>175</v>
      </c>
      <c r="B69" t="s">
        <v>44</v>
      </c>
      <c r="C69" t="s">
        <v>176</v>
      </c>
      <c r="D69" t="s">
        <v>103</v>
      </c>
      <c r="E69" t="s">
        <v>32</v>
      </c>
      <c r="F69" t="s">
        <v>58</v>
      </c>
      <c r="G69" t="s">
        <v>23</v>
      </c>
      <c r="H69">
        <v>15</v>
      </c>
      <c r="I69">
        <v>456</v>
      </c>
      <c r="J69">
        <v>6840</v>
      </c>
    </row>
    <row r="70" spans="1:10">
      <c r="A70" t="s">
        <v>177</v>
      </c>
      <c r="B70" t="s">
        <v>38</v>
      </c>
      <c r="C70" t="s">
        <v>178</v>
      </c>
      <c r="D70" t="s">
        <v>179</v>
      </c>
      <c r="E70" t="s">
        <v>14</v>
      </c>
      <c r="F70" t="s">
        <v>15</v>
      </c>
      <c r="G70" t="s">
        <v>16</v>
      </c>
      <c r="H70">
        <v>10</v>
      </c>
      <c r="I70">
        <v>742</v>
      </c>
      <c r="J70">
        <v>7420</v>
      </c>
    </row>
    <row r="71" spans="1:10">
      <c r="A71" t="s">
        <v>180</v>
      </c>
      <c r="B71" t="s">
        <v>25</v>
      </c>
      <c r="C71" t="s">
        <v>181</v>
      </c>
      <c r="D71" t="s">
        <v>131</v>
      </c>
      <c r="E71" t="s">
        <v>41</v>
      </c>
      <c r="F71" t="s">
        <v>58</v>
      </c>
      <c r="G71" t="s">
        <v>23</v>
      </c>
      <c r="H71">
        <v>21</v>
      </c>
      <c r="I71">
        <v>464</v>
      </c>
      <c r="J71">
        <v>9744</v>
      </c>
    </row>
    <row r="72" spans="1:10">
      <c r="A72" t="s">
        <v>182</v>
      </c>
      <c r="B72" t="s">
        <v>18</v>
      </c>
      <c r="C72" t="s">
        <v>144</v>
      </c>
      <c r="D72" t="s">
        <v>118</v>
      </c>
      <c r="E72" t="s">
        <v>50</v>
      </c>
      <c r="F72" t="s">
        <v>15</v>
      </c>
      <c r="G72" t="s">
        <v>16</v>
      </c>
      <c r="H72">
        <v>2</v>
      </c>
      <c r="I72">
        <v>760</v>
      </c>
      <c r="J72">
        <v>1520</v>
      </c>
    </row>
    <row r="73" spans="1:10">
      <c r="A73" t="s">
        <v>183</v>
      </c>
      <c r="B73" t="s">
        <v>25</v>
      </c>
      <c r="C73" t="s">
        <v>163</v>
      </c>
      <c r="D73" t="s">
        <v>164</v>
      </c>
      <c r="E73" t="s">
        <v>32</v>
      </c>
      <c r="F73" t="s">
        <v>28</v>
      </c>
      <c r="G73" t="s">
        <v>23</v>
      </c>
      <c r="H73">
        <v>22</v>
      </c>
      <c r="I73">
        <v>295</v>
      </c>
      <c r="J73">
        <v>6490</v>
      </c>
    </row>
    <row r="74" spans="1:10">
      <c r="A74" t="s">
        <v>184</v>
      </c>
      <c r="B74" t="s">
        <v>120</v>
      </c>
      <c r="C74" t="s">
        <v>185</v>
      </c>
      <c r="D74" t="s">
        <v>36</v>
      </c>
      <c r="E74" t="s">
        <v>50</v>
      </c>
      <c r="F74" t="s">
        <v>33</v>
      </c>
      <c r="G74" t="s">
        <v>23</v>
      </c>
      <c r="H74">
        <v>9</v>
      </c>
      <c r="I74">
        <v>383</v>
      </c>
      <c r="J74">
        <v>3447</v>
      </c>
    </row>
    <row r="75" spans="1:10">
      <c r="A75" t="s">
        <v>173</v>
      </c>
      <c r="B75" t="s">
        <v>30</v>
      </c>
      <c r="C75" t="s">
        <v>186</v>
      </c>
      <c r="D75" t="s">
        <v>36</v>
      </c>
      <c r="E75" t="s">
        <v>21</v>
      </c>
      <c r="F75" t="s">
        <v>42</v>
      </c>
      <c r="G75" t="s">
        <v>23</v>
      </c>
      <c r="H75">
        <v>15</v>
      </c>
      <c r="I75">
        <v>432</v>
      </c>
      <c r="J75">
        <v>6480</v>
      </c>
    </row>
    <row r="76" spans="1:10">
      <c r="A76" t="s">
        <v>187</v>
      </c>
      <c r="B76" t="s">
        <v>120</v>
      </c>
      <c r="C76" t="s">
        <v>188</v>
      </c>
      <c r="D76" t="s">
        <v>152</v>
      </c>
      <c r="E76" t="s">
        <v>21</v>
      </c>
      <c r="F76" t="s">
        <v>22</v>
      </c>
      <c r="G76" t="s">
        <v>23</v>
      </c>
      <c r="H76">
        <v>21</v>
      </c>
      <c r="I76">
        <v>410</v>
      </c>
      <c r="J76">
        <v>8610</v>
      </c>
    </row>
    <row r="77" spans="1:10">
      <c r="A77" t="s">
        <v>189</v>
      </c>
      <c r="B77" t="s">
        <v>25</v>
      </c>
      <c r="C77" t="s">
        <v>190</v>
      </c>
      <c r="D77" t="s">
        <v>93</v>
      </c>
      <c r="E77" t="s">
        <v>14</v>
      </c>
      <c r="F77" t="s">
        <v>33</v>
      </c>
      <c r="G77" t="s">
        <v>23</v>
      </c>
      <c r="H77">
        <v>17</v>
      </c>
      <c r="I77">
        <v>392</v>
      </c>
      <c r="J77">
        <v>6664</v>
      </c>
    </row>
    <row r="78" spans="1:10">
      <c r="A78" t="s">
        <v>191</v>
      </c>
      <c r="B78" t="s">
        <v>18</v>
      </c>
      <c r="C78" t="s">
        <v>105</v>
      </c>
      <c r="D78" t="s">
        <v>106</v>
      </c>
      <c r="E78" t="s">
        <v>50</v>
      </c>
      <c r="F78" t="s">
        <v>58</v>
      </c>
      <c r="G78" t="s">
        <v>23</v>
      </c>
      <c r="H78">
        <v>5</v>
      </c>
      <c r="I78">
        <v>455</v>
      </c>
      <c r="J78">
        <v>2275</v>
      </c>
    </row>
    <row r="79" spans="1:10">
      <c r="A79" t="s">
        <v>143</v>
      </c>
      <c r="B79" t="s">
        <v>18</v>
      </c>
      <c r="C79" t="s">
        <v>105</v>
      </c>
      <c r="D79" t="s">
        <v>106</v>
      </c>
      <c r="E79" t="s">
        <v>50</v>
      </c>
      <c r="F79" t="s">
        <v>15</v>
      </c>
      <c r="G79" t="s">
        <v>16</v>
      </c>
      <c r="H79">
        <v>12</v>
      </c>
      <c r="I79">
        <v>761</v>
      </c>
      <c r="J79">
        <v>9132</v>
      </c>
    </row>
    <row r="80" spans="1:10">
      <c r="A80" t="s">
        <v>29</v>
      </c>
      <c r="B80" t="s">
        <v>110</v>
      </c>
      <c r="C80" t="s">
        <v>144</v>
      </c>
      <c r="D80" t="s">
        <v>118</v>
      </c>
      <c r="E80" t="s">
        <v>50</v>
      </c>
      <c r="F80" t="s">
        <v>42</v>
      </c>
      <c r="G80" t="s">
        <v>23</v>
      </c>
      <c r="H80">
        <v>20</v>
      </c>
      <c r="I80">
        <v>422</v>
      </c>
      <c r="J80">
        <v>8440</v>
      </c>
    </row>
    <row r="81" spans="1:10">
      <c r="A81" t="s">
        <v>192</v>
      </c>
      <c r="B81" t="s">
        <v>38</v>
      </c>
      <c r="C81" t="s">
        <v>62</v>
      </c>
      <c r="D81" t="s">
        <v>63</v>
      </c>
      <c r="E81" t="s">
        <v>14</v>
      </c>
      <c r="F81" t="s">
        <v>28</v>
      </c>
      <c r="G81" t="s">
        <v>23</v>
      </c>
      <c r="H81">
        <v>25</v>
      </c>
      <c r="I81">
        <v>284</v>
      </c>
      <c r="J81">
        <v>7100</v>
      </c>
    </row>
    <row r="82" spans="1:10">
      <c r="A82" t="s">
        <v>146</v>
      </c>
      <c r="B82" t="s">
        <v>38</v>
      </c>
      <c r="C82" t="s">
        <v>193</v>
      </c>
      <c r="D82" t="s">
        <v>118</v>
      </c>
      <c r="E82" t="s">
        <v>14</v>
      </c>
      <c r="F82" t="s">
        <v>15</v>
      </c>
      <c r="G82" t="s">
        <v>16</v>
      </c>
      <c r="H82">
        <v>2</v>
      </c>
      <c r="I82">
        <v>740</v>
      </c>
      <c r="J82">
        <v>1480</v>
      </c>
    </row>
    <row r="83" spans="1:10">
      <c r="A83" t="s">
        <v>194</v>
      </c>
      <c r="B83" t="s">
        <v>44</v>
      </c>
      <c r="C83" t="s">
        <v>45</v>
      </c>
      <c r="D83" t="s">
        <v>46</v>
      </c>
      <c r="E83" t="s">
        <v>14</v>
      </c>
      <c r="F83" t="s">
        <v>15</v>
      </c>
      <c r="G83" t="s">
        <v>16</v>
      </c>
      <c r="H83">
        <v>11</v>
      </c>
      <c r="I83">
        <v>742</v>
      </c>
      <c r="J83">
        <v>8162</v>
      </c>
    </row>
    <row r="84" spans="1:10">
      <c r="A84" t="s">
        <v>138</v>
      </c>
      <c r="B84" t="s">
        <v>38</v>
      </c>
      <c r="C84" t="s">
        <v>166</v>
      </c>
      <c r="D84" t="s">
        <v>106</v>
      </c>
      <c r="E84" t="s">
        <v>14</v>
      </c>
      <c r="F84" t="s">
        <v>22</v>
      </c>
      <c r="G84" t="s">
        <v>23</v>
      </c>
      <c r="I84">
        <v>410</v>
      </c>
    </row>
    <row r="85" spans="1:10">
      <c r="A85" t="s">
        <v>10</v>
      </c>
      <c r="B85" t="s">
        <v>95</v>
      </c>
      <c r="C85" t="s">
        <v>195</v>
      </c>
      <c r="D85" t="s">
        <v>196</v>
      </c>
      <c r="E85" t="s">
        <v>21</v>
      </c>
      <c r="F85" t="s">
        <v>15</v>
      </c>
      <c r="G85" t="s">
        <v>16</v>
      </c>
      <c r="H85">
        <v>8</v>
      </c>
      <c r="I85">
        <v>760</v>
      </c>
      <c r="J85">
        <v>6080</v>
      </c>
    </row>
    <row r="86" spans="1:10">
      <c r="A86" t="s">
        <v>197</v>
      </c>
      <c r="B86" t="s">
        <v>88</v>
      </c>
      <c r="C86" t="s">
        <v>198</v>
      </c>
      <c r="D86" t="s">
        <v>40</v>
      </c>
      <c r="E86" t="s">
        <v>21</v>
      </c>
      <c r="F86" t="s">
        <v>28</v>
      </c>
      <c r="G86" t="s">
        <v>23</v>
      </c>
      <c r="H86">
        <v>8</v>
      </c>
      <c r="I86">
        <v>288</v>
      </c>
      <c r="J86">
        <v>2304</v>
      </c>
    </row>
    <row r="87" spans="1:10">
      <c r="A87" t="s">
        <v>199</v>
      </c>
      <c r="B87" t="s">
        <v>139</v>
      </c>
      <c r="C87" t="s">
        <v>200</v>
      </c>
      <c r="D87" t="s">
        <v>100</v>
      </c>
      <c r="E87" t="s">
        <v>21</v>
      </c>
      <c r="F87" t="s">
        <v>33</v>
      </c>
      <c r="G87" t="s">
        <v>23</v>
      </c>
      <c r="H87">
        <v>18</v>
      </c>
      <c r="I87">
        <v>386</v>
      </c>
      <c r="J87">
        <v>6948</v>
      </c>
    </row>
    <row r="88" spans="1:10">
      <c r="A88" t="s">
        <v>171</v>
      </c>
      <c r="B88" t="s">
        <v>38</v>
      </c>
      <c r="C88" t="s">
        <v>39</v>
      </c>
      <c r="D88" t="s">
        <v>40</v>
      </c>
      <c r="E88" t="s">
        <v>41</v>
      </c>
      <c r="F88" t="s">
        <v>42</v>
      </c>
      <c r="G88" t="s">
        <v>23</v>
      </c>
      <c r="H88">
        <v>18</v>
      </c>
      <c r="I88">
        <v>419</v>
      </c>
      <c r="J88">
        <v>7542</v>
      </c>
    </row>
    <row r="89" spans="1:10">
      <c r="A89" t="s">
        <v>201</v>
      </c>
      <c r="B89" t="s">
        <v>95</v>
      </c>
      <c r="C89" t="s">
        <v>19</v>
      </c>
      <c r="D89" t="s">
        <v>20</v>
      </c>
      <c r="E89" t="s">
        <v>21</v>
      </c>
      <c r="F89" t="s">
        <v>22</v>
      </c>
      <c r="G89" t="s">
        <v>23</v>
      </c>
      <c r="H89">
        <v>13</v>
      </c>
      <c r="I89">
        <v>405</v>
      </c>
      <c r="J89">
        <v>5265</v>
      </c>
    </row>
    <row r="90" spans="1:10">
      <c r="A90" t="s">
        <v>202</v>
      </c>
      <c r="B90" t="s">
        <v>44</v>
      </c>
      <c r="C90" t="s">
        <v>45</v>
      </c>
      <c r="D90" t="s">
        <v>46</v>
      </c>
      <c r="E90" t="s">
        <v>14</v>
      </c>
      <c r="F90" t="s">
        <v>22</v>
      </c>
      <c r="G90" t="s">
        <v>23</v>
      </c>
      <c r="H90">
        <v>4</v>
      </c>
      <c r="I90">
        <v>410</v>
      </c>
      <c r="J90">
        <v>1640</v>
      </c>
    </row>
    <row r="91" spans="1:10">
      <c r="A91" t="s">
        <v>203</v>
      </c>
      <c r="B91" t="s">
        <v>110</v>
      </c>
      <c r="C91" t="s">
        <v>204</v>
      </c>
      <c r="D91" t="s">
        <v>137</v>
      </c>
      <c r="E91" t="s">
        <v>14</v>
      </c>
      <c r="F91" t="s">
        <v>15</v>
      </c>
      <c r="G91" t="s">
        <v>16</v>
      </c>
      <c r="H91">
        <v>18</v>
      </c>
      <c r="I91">
        <v>738</v>
      </c>
      <c r="J91">
        <v>13284</v>
      </c>
    </row>
    <row r="92" spans="1:10">
      <c r="A92" t="s">
        <v>104</v>
      </c>
      <c r="B92" t="s">
        <v>52</v>
      </c>
      <c r="C92" t="s">
        <v>76</v>
      </c>
      <c r="D92" t="s">
        <v>77</v>
      </c>
      <c r="E92" t="s">
        <v>41</v>
      </c>
      <c r="F92" t="s">
        <v>22</v>
      </c>
      <c r="G92" t="s">
        <v>23</v>
      </c>
      <c r="H92">
        <v>11</v>
      </c>
      <c r="I92">
        <v>416</v>
      </c>
      <c r="J92">
        <v>4576</v>
      </c>
    </row>
    <row r="93" spans="1:10">
      <c r="A93" t="s">
        <v>205</v>
      </c>
      <c r="B93" t="s">
        <v>11</v>
      </c>
      <c r="C93" t="s">
        <v>188</v>
      </c>
      <c r="D93" t="s">
        <v>152</v>
      </c>
      <c r="E93" t="s">
        <v>21</v>
      </c>
      <c r="F93" t="s">
        <v>15</v>
      </c>
      <c r="G93" t="s">
        <v>16</v>
      </c>
      <c r="H93">
        <v>3</v>
      </c>
      <c r="I93">
        <v>755</v>
      </c>
      <c r="J93">
        <v>2265</v>
      </c>
    </row>
    <row r="94" spans="1:10">
      <c r="A94" t="s">
        <v>206</v>
      </c>
      <c r="B94" t="s">
        <v>139</v>
      </c>
      <c r="C94" t="s">
        <v>207</v>
      </c>
      <c r="D94" t="s">
        <v>196</v>
      </c>
      <c r="E94" t="s">
        <v>50</v>
      </c>
      <c r="F94" t="s">
        <v>33</v>
      </c>
      <c r="G94" t="s">
        <v>23</v>
      </c>
      <c r="H94">
        <v>17</v>
      </c>
      <c r="I94">
        <v>401</v>
      </c>
      <c r="J94">
        <v>6817</v>
      </c>
    </row>
    <row r="95" spans="1:10">
      <c r="A95" t="s">
        <v>145</v>
      </c>
      <c r="B95" t="s">
        <v>120</v>
      </c>
      <c r="C95" t="s">
        <v>35</v>
      </c>
      <c r="D95" t="s">
        <v>36</v>
      </c>
      <c r="E95" t="s">
        <v>14</v>
      </c>
      <c r="F95" t="s">
        <v>28</v>
      </c>
      <c r="G95" t="s">
        <v>23</v>
      </c>
      <c r="H95">
        <v>25</v>
      </c>
      <c r="I95">
        <v>284</v>
      </c>
      <c r="J95">
        <v>7100</v>
      </c>
    </row>
    <row r="96" spans="1:10">
      <c r="A96" t="s">
        <v>24</v>
      </c>
      <c r="B96" t="s">
        <v>38</v>
      </c>
      <c r="C96" t="s">
        <v>39</v>
      </c>
      <c r="D96" t="s">
        <v>40</v>
      </c>
      <c r="E96" t="s">
        <v>41</v>
      </c>
      <c r="F96" t="s">
        <v>15</v>
      </c>
      <c r="G96" t="s">
        <v>16</v>
      </c>
      <c r="H96">
        <v>22</v>
      </c>
      <c r="I96">
        <v>749</v>
      </c>
      <c r="J96">
        <v>16478</v>
      </c>
    </row>
    <row r="97" spans="1:10">
      <c r="A97" t="s">
        <v>208</v>
      </c>
      <c r="B97" t="s">
        <v>88</v>
      </c>
      <c r="C97" t="s">
        <v>168</v>
      </c>
      <c r="D97" t="s">
        <v>115</v>
      </c>
      <c r="E97" t="s">
        <v>41</v>
      </c>
      <c r="F97" t="s">
        <v>28</v>
      </c>
      <c r="G97" t="s">
        <v>23</v>
      </c>
      <c r="H97">
        <v>17</v>
      </c>
      <c r="I97">
        <v>296</v>
      </c>
      <c r="J97">
        <v>5032</v>
      </c>
    </row>
    <row r="98" spans="1:10">
      <c r="A98" t="s">
        <v>209</v>
      </c>
      <c r="B98" t="s">
        <v>30</v>
      </c>
      <c r="C98" t="s">
        <v>210</v>
      </c>
      <c r="D98" t="s">
        <v>131</v>
      </c>
      <c r="E98" t="s">
        <v>32</v>
      </c>
      <c r="F98" t="s">
        <v>58</v>
      </c>
      <c r="G98" t="s">
        <v>23</v>
      </c>
      <c r="H98">
        <v>14</v>
      </c>
      <c r="I98">
        <v>453</v>
      </c>
      <c r="J98">
        <v>6342</v>
      </c>
    </row>
    <row r="99" spans="1:10">
      <c r="A99" t="s">
        <v>211</v>
      </c>
      <c r="B99" t="s">
        <v>88</v>
      </c>
      <c r="C99" t="s">
        <v>156</v>
      </c>
      <c r="D99" t="s">
        <v>80</v>
      </c>
      <c r="E99" t="s">
        <v>32</v>
      </c>
      <c r="F99" t="s">
        <v>22</v>
      </c>
      <c r="G99" t="s">
        <v>23</v>
      </c>
      <c r="H99">
        <v>15</v>
      </c>
      <c r="I99">
        <v>402</v>
      </c>
      <c r="J99">
        <v>6030</v>
      </c>
    </row>
    <row r="100" spans="1:10">
      <c r="A100" t="s">
        <v>206</v>
      </c>
      <c r="B100" t="s">
        <v>88</v>
      </c>
      <c r="C100" t="s">
        <v>212</v>
      </c>
      <c r="D100" t="s">
        <v>20</v>
      </c>
      <c r="E100" t="s">
        <v>21</v>
      </c>
      <c r="F100" t="s">
        <v>15</v>
      </c>
      <c r="G100" t="s">
        <v>16</v>
      </c>
      <c r="H100">
        <v>5</v>
      </c>
      <c r="I100">
        <v>738</v>
      </c>
      <c r="J100">
        <v>3690</v>
      </c>
    </row>
    <row r="101" spans="1:10">
      <c r="A101" t="s">
        <v>132</v>
      </c>
      <c r="B101" t="s">
        <v>88</v>
      </c>
      <c r="C101" t="s">
        <v>102</v>
      </c>
      <c r="D101" t="s">
        <v>103</v>
      </c>
      <c r="E101" t="s">
        <v>14</v>
      </c>
      <c r="F101" t="s">
        <v>22</v>
      </c>
      <c r="G101" t="s">
        <v>23</v>
      </c>
      <c r="H101">
        <v>15</v>
      </c>
      <c r="I101">
        <v>410</v>
      </c>
      <c r="J101">
        <v>6150</v>
      </c>
    </row>
    <row r="102" spans="1:10">
      <c r="A102" t="s">
        <v>213</v>
      </c>
      <c r="B102" t="s">
        <v>52</v>
      </c>
      <c r="C102" t="s">
        <v>214</v>
      </c>
      <c r="D102" t="s">
        <v>77</v>
      </c>
      <c r="E102" t="s">
        <v>21</v>
      </c>
      <c r="F102" t="s">
        <v>15</v>
      </c>
      <c r="G102" t="s">
        <v>16</v>
      </c>
      <c r="H102">
        <v>2</v>
      </c>
      <c r="I102">
        <v>748</v>
      </c>
      <c r="J102">
        <v>1496</v>
      </c>
    </row>
    <row r="103" spans="1:10">
      <c r="A103" t="s">
        <v>173</v>
      </c>
      <c r="B103" t="s">
        <v>38</v>
      </c>
      <c r="C103" t="s">
        <v>127</v>
      </c>
      <c r="D103" t="s">
        <v>128</v>
      </c>
      <c r="E103" t="s">
        <v>41</v>
      </c>
      <c r="F103" t="s">
        <v>58</v>
      </c>
      <c r="G103" t="s">
        <v>23</v>
      </c>
      <c r="H103">
        <v>4</v>
      </c>
      <c r="I103">
        <v>468</v>
      </c>
      <c r="J103">
        <v>1872</v>
      </c>
    </row>
    <row r="104" spans="1:10">
      <c r="A104" t="s">
        <v>215</v>
      </c>
      <c r="B104" t="s">
        <v>11</v>
      </c>
      <c r="C104" t="s">
        <v>188</v>
      </c>
      <c r="D104" t="s">
        <v>152</v>
      </c>
      <c r="E104" t="s">
        <v>21</v>
      </c>
      <c r="F104" t="s">
        <v>15</v>
      </c>
      <c r="G104" t="s">
        <v>16</v>
      </c>
      <c r="H104">
        <v>22</v>
      </c>
      <c r="I104">
        <v>763</v>
      </c>
      <c r="J104">
        <v>16786</v>
      </c>
    </row>
    <row r="105" spans="1:10">
      <c r="A105" t="s">
        <v>10</v>
      </c>
      <c r="B105" t="s">
        <v>73</v>
      </c>
      <c r="C105" t="s">
        <v>74</v>
      </c>
      <c r="D105" t="s">
        <v>36</v>
      </c>
      <c r="E105" t="s">
        <v>41</v>
      </c>
      <c r="F105" t="s">
        <v>15</v>
      </c>
      <c r="G105" t="s">
        <v>16</v>
      </c>
      <c r="H105">
        <v>6</v>
      </c>
      <c r="I105">
        <v>743</v>
      </c>
      <c r="J105">
        <v>4458</v>
      </c>
    </row>
    <row r="106" spans="1:10">
      <c r="A106" t="s">
        <v>202</v>
      </c>
      <c r="B106" t="s">
        <v>25</v>
      </c>
      <c r="C106" t="s">
        <v>82</v>
      </c>
      <c r="D106" t="s">
        <v>83</v>
      </c>
      <c r="E106" t="s">
        <v>41</v>
      </c>
      <c r="F106" t="s">
        <v>28</v>
      </c>
      <c r="G106" t="s">
        <v>23</v>
      </c>
      <c r="H106">
        <v>7</v>
      </c>
      <c r="I106">
        <v>274</v>
      </c>
      <c r="J106">
        <v>1918</v>
      </c>
    </row>
    <row r="107" spans="1:10">
      <c r="A107" t="s">
        <v>216</v>
      </c>
      <c r="B107" t="s">
        <v>18</v>
      </c>
      <c r="C107" t="s">
        <v>217</v>
      </c>
      <c r="D107" t="s">
        <v>93</v>
      </c>
      <c r="E107" t="s">
        <v>14</v>
      </c>
      <c r="F107" t="s">
        <v>33</v>
      </c>
      <c r="G107" t="s">
        <v>23</v>
      </c>
      <c r="H107">
        <v>3</v>
      </c>
      <c r="I107">
        <v>383</v>
      </c>
      <c r="J107">
        <v>1149</v>
      </c>
    </row>
    <row r="108" spans="1:10">
      <c r="A108" t="s">
        <v>218</v>
      </c>
      <c r="B108" t="s">
        <v>108</v>
      </c>
      <c r="C108" t="s">
        <v>147</v>
      </c>
      <c r="D108" t="s">
        <v>49</v>
      </c>
      <c r="E108" t="s">
        <v>21</v>
      </c>
      <c r="F108" t="s">
        <v>33</v>
      </c>
      <c r="G108" t="s">
        <v>23</v>
      </c>
      <c r="H108">
        <v>12</v>
      </c>
      <c r="I108">
        <v>401</v>
      </c>
      <c r="J108">
        <v>4812</v>
      </c>
    </row>
    <row r="109" spans="1:10">
      <c r="A109" t="s">
        <v>126</v>
      </c>
      <c r="B109" t="s">
        <v>25</v>
      </c>
      <c r="C109" t="s">
        <v>89</v>
      </c>
      <c r="D109" t="s">
        <v>90</v>
      </c>
      <c r="E109" t="s">
        <v>50</v>
      </c>
      <c r="F109" t="s">
        <v>58</v>
      </c>
      <c r="G109" t="s">
        <v>23</v>
      </c>
      <c r="H109">
        <v>24</v>
      </c>
      <c r="I109">
        <v>474</v>
      </c>
      <c r="J109">
        <v>11376</v>
      </c>
    </row>
    <row r="110" spans="1:10">
      <c r="A110" t="s">
        <v>219</v>
      </c>
      <c r="B110" t="s">
        <v>18</v>
      </c>
      <c r="C110" t="s">
        <v>220</v>
      </c>
      <c r="D110" t="s">
        <v>221</v>
      </c>
      <c r="E110" t="s">
        <v>21</v>
      </c>
      <c r="F110" t="s">
        <v>33</v>
      </c>
      <c r="G110" t="s">
        <v>23</v>
      </c>
      <c r="H110">
        <v>25</v>
      </c>
      <c r="I110">
        <v>401</v>
      </c>
      <c r="J110">
        <v>10025</v>
      </c>
    </row>
    <row r="111" spans="1:10">
      <c r="A111" t="s">
        <v>222</v>
      </c>
      <c r="B111" t="s">
        <v>139</v>
      </c>
      <c r="C111" t="s">
        <v>223</v>
      </c>
      <c r="D111" t="s">
        <v>66</v>
      </c>
      <c r="E111" t="s">
        <v>14</v>
      </c>
      <c r="F111" t="s">
        <v>15</v>
      </c>
      <c r="G111" t="s">
        <v>16</v>
      </c>
      <c r="H111">
        <v>8</v>
      </c>
      <c r="I111">
        <v>764</v>
      </c>
      <c r="J111">
        <v>6112</v>
      </c>
    </row>
    <row r="112" spans="1:10">
      <c r="A112" t="s">
        <v>37</v>
      </c>
      <c r="B112" t="s">
        <v>108</v>
      </c>
      <c r="C112" t="s">
        <v>224</v>
      </c>
      <c r="D112" t="s">
        <v>106</v>
      </c>
      <c r="E112" t="s">
        <v>41</v>
      </c>
      <c r="F112" t="s">
        <v>15</v>
      </c>
      <c r="G112" t="s">
        <v>16</v>
      </c>
      <c r="H112">
        <v>3</v>
      </c>
      <c r="I112">
        <v>742</v>
      </c>
      <c r="J112">
        <v>2226</v>
      </c>
    </row>
    <row r="113" spans="1:10">
      <c r="A113" t="s">
        <v>225</v>
      </c>
      <c r="B113" t="s">
        <v>73</v>
      </c>
      <c r="C113" t="s">
        <v>210</v>
      </c>
      <c r="D113" t="s">
        <v>131</v>
      </c>
      <c r="E113" t="s">
        <v>32</v>
      </c>
      <c r="F113" t="s">
        <v>15</v>
      </c>
      <c r="G113" t="s">
        <v>16</v>
      </c>
      <c r="H113">
        <v>3</v>
      </c>
      <c r="I113">
        <v>736</v>
      </c>
      <c r="J113">
        <v>2208</v>
      </c>
    </row>
    <row r="114" spans="1:10">
      <c r="A114" t="s">
        <v>226</v>
      </c>
      <c r="B114" t="s">
        <v>44</v>
      </c>
      <c r="C114" t="s">
        <v>31</v>
      </c>
      <c r="D114" t="s">
        <v>20</v>
      </c>
      <c r="E114" t="s">
        <v>32</v>
      </c>
      <c r="F114" t="s">
        <v>33</v>
      </c>
      <c r="G114" t="s">
        <v>23</v>
      </c>
      <c r="H114">
        <v>16</v>
      </c>
      <c r="I114">
        <v>394</v>
      </c>
      <c r="J114">
        <v>6304</v>
      </c>
    </row>
    <row r="115" spans="1:10">
      <c r="A115" t="s">
        <v>227</v>
      </c>
      <c r="B115" t="s">
        <v>88</v>
      </c>
      <c r="C115" t="s">
        <v>53</v>
      </c>
      <c r="D115" t="s">
        <v>54</v>
      </c>
      <c r="E115" t="s">
        <v>50</v>
      </c>
      <c r="F115" t="s">
        <v>22</v>
      </c>
      <c r="G115" t="s">
        <v>23</v>
      </c>
      <c r="H115">
        <v>6</v>
      </c>
      <c r="I115">
        <v>425</v>
      </c>
      <c r="J115">
        <v>2550</v>
      </c>
    </row>
    <row r="116" spans="1:10">
      <c r="A116" t="s">
        <v>123</v>
      </c>
      <c r="B116" t="s">
        <v>11</v>
      </c>
      <c r="C116" t="s">
        <v>35</v>
      </c>
      <c r="D116" t="s">
        <v>36</v>
      </c>
      <c r="E116" t="s">
        <v>14</v>
      </c>
      <c r="F116" t="s">
        <v>22</v>
      </c>
      <c r="G116" t="s">
        <v>23</v>
      </c>
      <c r="H116">
        <v>3</v>
      </c>
      <c r="I116">
        <v>408</v>
      </c>
      <c r="J116">
        <v>1224</v>
      </c>
    </row>
    <row r="117" spans="1:10">
      <c r="A117" t="s">
        <v>141</v>
      </c>
      <c r="B117" t="s">
        <v>95</v>
      </c>
      <c r="C117" t="s">
        <v>228</v>
      </c>
      <c r="D117" t="s">
        <v>164</v>
      </c>
      <c r="E117" t="s">
        <v>41</v>
      </c>
      <c r="F117" t="s">
        <v>15</v>
      </c>
      <c r="G117" t="s">
        <v>16</v>
      </c>
      <c r="H117">
        <v>4</v>
      </c>
      <c r="I117">
        <v>741</v>
      </c>
      <c r="J117">
        <v>2964</v>
      </c>
    </row>
    <row r="118" spans="1:10">
      <c r="A118" t="s">
        <v>43</v>
      </c>
      <c r="B118" t="s">
        <v>110</v>
      </c>
      <c r="C118" t="s">
        <v>217</v>
      </c>
      <c r="D118" t="s">
        <v>93</v>
      </c>
      <c r="E118" t="s">
        <v>14</v>
      </c>
      <c r="F118" t="s">
        <v>28</v>
      </c>
      <c r="G118" t="s">
        <v>23</v>
      </c>
      <c r="H118">
        <v>13</v>
      </c>
      <c r="I118">
        <v>273</v>
      </c>
      <c r="J118">
        <v>3549</v>
      </c>
    </row>
    <row r="119" spans="1:10">
      <c r="A119" t="s">
        <v>229</v>
      </c>
      <c r="B119" t="s">
        <v>88</v>
      </c>
      <c r="C119" t="s">
        <v>76</v>
      </c>
      <c r="D119" t="s">
        <v>77</v>
      </c>
      <c r="E119" t="s">
        <v>41</v>
      </c>
      <c r="F119" t="s">
        <v>33</v>
      </c>
      <c r="G119" t="s">
        <v>23</v>
      </c>
      <c r="H119">
        <v>22</v>
      </c>
      <c r="I119">
        <v>405</v>
      </c>
      <c r="J119">
        <v>8910</v>
      </c>
    </row>
    <row r="120" spans="1:10">
      <c r="A120" t="s">
        <v>230</v>
      </c>
      <c r="B120" t="s">
        <v>38</v>
      </c>
      <c r="C120" t="s">
        <v>127</v>
      </c>
      <c r="D120" t="s">
        <v>128</v>
      </c>
      <c r="E120" t="s">
        <v>41</v>
      </c>
      <c r="F120" t="s">
        <v>15</v>
      </c>
      <c r="G120" t="s">
        <v>16</v>
      </c>
      <c r="H120">
        <v>14</v>
      </c>
      <c r="I120">
        <v>749</v>
      </c>
      <c r="J120">
        <v>10486</v>
      </c>
    </row>
    <row r="121" spans="1:10">
      <c r="A121" t="s">
        <v>230</v>
      </c>
      <c r="B121" t="s">
        <v>38</v>
      </c>
      <c r="C121" t="s">
        <v>200</v>
      </c>
      <c r="D121" t="s">
        <v>100</v>
      </c>
      <c r="E121" t="s">
        <v>21</v>
      </c>
      <c r="F121" t="s">
        <v>42</v>
      </c>
      <c r="G121" t="s">
        <v>23</v>
      </c>
      <c r="H121">
        <v>10</v>
      </c>
      <c r="I121">
        <v>428</v>
      </c>
      <c r="J121">
        <v>4280</v>
      </c>
    </row>
    <row r="122" spans="1:10">
      <c r="A122" t="s">
        <v>231</v>
      </c>
      <c r="B122" t="s">
        <v>108</v>
      </c>
      <c r="C122" t="s">
        <v>74</v>
      </c>
      <c r="D122" t="s">
        <v>36</v>
      </c>
      <c r="E122" t="s">
        <v>41</v>
      </c>
      <c r="F122" t="s">
        <v>22</v>
      </c>
      <c r="G122" t="s">
        <v>23</v>
      </c>
      <c r="H122">
        <v>8</v>
      </c>
      <c r="I122">
        <v>420</v>
      </c>
      <c r="J122">
        <v>3360</v>
      </c>
    </row>
    <row r="123" spans="1:10">
      <c r="A123" t="s">
        <v>232</v>
      </c>
      <c r="B123" t="s">
        <v>120</v>
      </c>
      <c r="C123" t="s">
        <v>92</v>
      </c>
      <c r="D123" t="s">
        <v>93</v>
      </c>
      <c r="E123" t="s">
        <v>14</v>
      </c>
      <c r="F123" t="s">
        <v>42</v>
      </c>
      <c r="G123" t="s">
        <v>23</v>
      </c>
      <c r="H123">
        <v>13</v>
      </c>
      <c r="I123">
        <v>435</v>
      </c>
      <c r="J123">
        <v>5655</v>
      </c>
    </row>
    <row r="124" spans="1:10">
      <c r="A124" t="s">
        <v>233</v>
      </c>
      <c r="B124" t="s">
        <v>95</v>
      </c>
      <c r="C124" t="s">
        <v>234</v>
      </c>
      <c r="D124" t="s">
        <v>235</v>
      </c>
      <c r="E124" t="s">
        <v>50</v>
      </c>
      <c r="F124" t="s">
        <v>15</v>
      </c>
      <c r="G124" t="s">
        <v>16</v>
      </c>
      <c r="H124">
        <v>18</v>
      </c>
      <c r="I124">
        <v>756</v>
      </c>
      <c r="J124">
        <v>13608</v>
      </c>
    </row>
    <row r="125" spans="1:10">
      <c r="A125" t="s">
        <v>236</v>
      </c>
      <c r="B125" t="s">
        <v>30</v>
      </c>
      <c r="C125" t="s">
        <v>210</v>
      </c>
      <c r="D125" t="s">
        <v>131</v>
      </c>
      <c r="E125" t="s">
        <v>32</v>
      </c>
      <c r="F125" t="s">
        <v>22</v>
      </c>
      <c r="G125" t="s">
        <v>23</v>
      </c>
      <c r="H125">
        <v>18</v>
      </c>
      <c r="I125">
        <v>424</v>
      </c>
      <c r="J125">
        <v>7632</v>
      </c>
    </row>
    <row r="126" spans="1:10">
      <c r="A126" t="s">
        <v>237</v>
      </c>
      <c r="B126" t="s">
        <v>52</v>
      </c>
      <c r="C126" t="s">
        <v>238</v>
      </c>
      <c r="D126" t="s">
        <v>239</v>
      </c>
      <c r="E126" t="s">
        <v>14</v>
      </c>
      <c r="F126" t="s">
        <v>33</v>
      </c>
      <c r="G126" t="s">
        <v>23</v>
      </c>
      <c r="H126">
        <v>25</v>
      </c>
      <c r="I126">
        <v>396</v>
      </c>
      <c r="J126">
        <v>9900</v>
      </c>
    </row>
    <row r="127" spans="1:10">
      <c r="A127" t="s">
        <v>91</v>
      </c>
      <c r="B127" t="s">
        <v>38</v>
      </c>
      <c r="C127" t="s">
        <v>240</v>
      </c>
      <c r="D127" t="s">
        <v>239</v>
      </c>
      <c r="E127" t="s">
        <v>21</v>
      </c>
      <c r="F127" t="s">
        <v>22</v>
      </c>
      <c r="G127" t="s">
        <v>23</v>
      </c>
      <c r="H127">
        <v>11</v>
      </c>
      <c r="I127">
        <v>412</v>
      </c>
      <c r="J127">
        <v>4532</v>
      </c>
    </row>
    <row r="128" spans="1:10">
      <c r="A128" t="s">
        <v>69</v>
      </c>
      <c r="B128" t="s">
        <v>110</v>
      </c>
      <c r="C128" t="s">
        <v>195</v>
      </c>
      <c r="D128" t="s">
        <v>196</v>
      </c>
      <c r="E128" t="s">
        <v>21</v>
      </c>
      <c r="F128" t="s">
        <v>22</v>
      </c>
      <c r="G128" t="s">
        <v>23</v>
      </c>
      <c r="H128">
        <v>25</v>
      </c>
      <c r="I128">
        <v>422</v>
      </c>
      <c r="J128">
        <v>10550</v>
      </c>
    </row>
    <row r="129" spans="1:10">
      <c r="A129" t="s">
        <v>124</v>
      </c>
      <c r="B129" t="s">
        <v>25</v>
      </c>
      <c r="C129" t="s">
        <v>241</v>
      </c>
      <c r="D129" t="s">
        <v>242</v>
      </c>
      <c r="E129" t="s">
        <v>14</v>
      </c>
      <c r="F129" t="s">
        <v>42</v>
      </c>
      <c r="G129" t="s">
        <v>23</v>
      </c>
      <c r="H129">
        <v>21</v>
      </c>
      <c r="I129">
        <v>424</v>
      </c>
      <c r="J129">
        <v>8904</v>
      </c>
    </row>
    <row r="130" spans="1:10">
      <c r="A130" t="s">
        <v>122</v>
      </c>
      <c r="B130" t="s">
        <v>38</v>
      </c>
      <c r="C130" t="s">
        <v>207</v>
      </c>
      <c r="D130" t="s">
        <v>196</v>
      </c>
      <c r="E130" t="s">
        <v>50</v>
      </c>
      <c r="F130" t="s">
        <v>33</v>
      </c>
      <c r="G130" t="s">
        <v>23</v>
      </c>
      <c r="H130">
        <v>5</v>
      </c>
      <c r="I130">
        <v>400</v>
      </c>
      <c r="J130">
        <v>2000</v>
      </c>
    </row>
    <row r="131" spans="1:10">
      <c r="A131" t="s">
        <v>205</v>
      </c>
      <c r="B131" t="s">
        <v>44</v>
      </c>
      <c r="C131" t="s">
        <v>45</v>
      </c>
      <c r="D131" t="s">
        <v>46</v>
      </c>
      <c r="E131" t="s">
        <v>14</v>
      </c>
      <c r="F131" t="s">
        <v>58</v>
      </c>
      <c r="G131" t="s">
        <v>23</v>
      </c>
      <c r="H131">
        <v>10</v>
      </c>
      <c r="I131">
        <v>453</v>
      </c>
      <c r="J131">
        <v>4530</v>
      </c>
    </row>
    <row r="132" spans="1:10">
      <c r="A132" t="s">
        <v>47</v>
      </c>
      <c r="B132" t="s">
        <v>18</v>
      </c>
      <c r="C132" t="s">
        <v>217</v>
      </c>
      <c r="D132" t="s">
        <v>93</v>
      </c>
      <c r="E132" t="s">
        <v>14</v>
      </c>
      <c r="F132" t="s">
        <v>33</v>
      </c>
      <c r="G132" t="s">
        <v>23</v>
      </c>
      <c r="H132">
        <v>4</v>
      </c>
      <c r="I132">
        <v>400</v>
      </c>
      <c r="J132">
        <v>1600</v>
      </c>
    </row>
    <row r="133" spans="1:10">
      <c r="A133" t="s">
        <v>219</v>
      </c>
      <c r="B133" t="s">
        <v>52</v>
      </c>
      <c r="C133" t="s">
        <v>243</v>
      </c>
      <c r="D133" t="s">
        <v>244</v>
      </c>
      <c r="E133" t="s">
        <v>21</v>
      </c>
      <c r="F133" t="s">
        <v>22</v>
      </c>
      <c r="G133" t="s">
        <v>23</v>
      </c>
      <c r="H133">
        <v>6</v>
      </c>
      <c r="I133">
        <v>396</v>
      </c>
      <c r="J133">
        <v>2376</v>
      </c>
    </row>
    <row r="134" spans="1:10">
      <c r="A134" t="s">
        <v>245</v>
      </c>
      <c r="B134" t="s">
        <v>73</v>
      </c>
      <c r="C134" t="s">
        <v>147</v>
      </c>
      <c r="D134" t="s">
        <v>49</v>
      </c>
      <c r="E134" t="s">
        <v>21</v>
      </c>
      <c r="F134" t="s">
        <v>33</v>
      </c>
      <c r="G134" t="s">
        <v>23</v>
      </c>
      <c r="H134">
        <v>9</v>
      </c>
      <c r="I134">
        <v>391</v>
      </c>
      <c r="J134">
        <v>3519</v>
      </c>
    </row>
    <row r="135" spans="1:10">
      <c r="A135" t="s">
        <v>246</v>
      </c>
      <c r="B135" t="s">
        <v>38</v>
      </c>
      <c r="C135" t="s">
        <v>247</v>
      </c>
      <c r="D135" t="s">
        <v>106</v>
      </c>
      <c r="E135" t="s">
        <v>41</v>
      </c>
      <c r="F135" t="s">
        <v>33</v>
      </c>
      <c r="G135" t="s">
        <v>23</v>
      </c>
      <c r="H135">
        <v>10</v>
      </c>
      <c r="I135">
        <v>381</v>
      </c>
      <c r="J135">
        <v>3810</v>
      </c>
    </row>
    <row r="136" spans="1:10">
      <c r="A136" t="s">
        <v>232</v>
      </c>
      <c r="B136" t="s">
        <v>52</v>
      </c>
      <c r="C136" t="s">
        <v>243</v>
      </c>
      <c r="D136" t="s">
        <v>244</v>
      </c>
      <c r="E136" t="s">
        <v>21</v>
      </c>
      <c r="F136" t="s">
        <v>28</v>
      </c>
      <c r="G136" t="s">
        <v>23</v>
      </c>
      <c r="H136">
        <v>8</v>
      </c>
      <c r="I136">
        <v>289</v>
      </c>
      <c r="J136">
        <v>2312</v>
      </c>
    </row>
    <row r="137" spans="1:10">
      <c r="A137" t="s">
        <v>248</v>
      </c>
      <c r="B137" t="s">
        <v>139</v>
      </c>
      <c r="C137" t="s">
        <v>249</v>
      </c>
      <c r="D137" t="s">
        <v>106</v>
      </c>
      <c r="E137" t="s">
        <v>41</v>
      </c>
      <c r="F137" t="s">
        <v>58</v>
      </c>
      <c r="G137" t="s">
        <v>23</v>
      </c>
      <c r="I137">
        <v>462</v>
      </c>
    </row>
    <row r="138" spans="1:10">
      <c r="A138" t="s">
        <v>162</v>
      </c>
      <c r="B138" t="s">
        <v>11</v>
      </c>
      <c r="C138" t="s">
        <v>35</v>
      </c>
      <c r="D138" t="s">
        <v>36</v>
      </c>
      <c r="E138" t="s">
        <v>14</v>
      </c>
      <c r="F138" t="s">
        <v>28</v>
      </c>
      <c r="G138" t="s">
        <v>23</v>
      </c>
      <c r="H138">
        <v>6</v>
      </c>
      <c r="I138">
        <v>292</v>
      </c>
      <c r="J138">
        <v>1752</v>
      </c>
    </row>
    <row r="139" spans="1:10">
      <c r="A139" t="s">
        <v>216</v>
      </c>
      <c r="B139" t="s">
        <v>25</v>
      </c>
      <c r="C139" t="s">
        <v>190</v>
      </c>
      <c r="D139" t="s">
        <v>93</v>
      </c>
      <c r="E139" t="s">
        <v>14</v>
      </c>
      <c r="F139" t="s">
        <v>33</v>
      </c>
      <c r="G139" t="s">
        <v>23</v>
      </c>
      <c r="H139">
        <v>15</v>
      </c>
      <c r="I139">
        <v>409</v>
      </c>
      <c r="J139">
        <v>6135</v>
      </c>
    </row>
    <row r="140" spans="1:10">
      <c r="A140" t="s">
        <v>250</v>
      </c>
      <c r="B140" t="s">
        <v>110</v>
      </c>
      <c r="C140" t="s">
        <v>251</v>
      </c>
      <c r="D140" t="s">
        <v>137</v>
      </c>
      <c r="E140" t="s">
        <v>50</v>
      </c>
      <c r="F140" t="s">
        <v>42</v>
      </c>
      <c r="G140" t="s">
        <v>23</v>
      </c>
      <c r="H140">
        <v>5</v>
      </c>
      <c r="I140">
        <v>436</v>
      </c>
      <c r="J140">
        <v>2180</v>
      </c>
    </row>
    <row r="141" spans="1:10">
      <c r="A141" t="s">
        <v>252</v>
      </c>
      <c r="B141" t="s">
        <v>139</v>
      </c>
      <c r="C141" t="s">
        <v>253</v>
      </c>
      <c r="D141" t="s">
        <v>239</v>
      </c>
      <c r="E141" t="s">
        <v>21</v>
      </c>
      <c r="F141" t="s">
        <v>42</v>
      </c>
      <c r="G141" t="s">
        <v>23</v>
      </c>
      <c r="H141">
        <v>23</v>
      </c>
      <c r="I141">
        <v>431</v>
      </c>
      <c r="J141">
        <v>9913</v>
      </c>
    </row>
    <row r="142" spans="1:10">
      <c r="A142" t="s">
        <v>254</v>
      </c>
      <c r="B142" t="s">
        <v>139</v>
      </c>
      <c r="C142" t="s">
        <v>255</v>
      </c>
      <c r="D142" t="s">
        <v>27</v>
      </c>
      <c r="E142" t="s">
        <v>41</v>
      </c>
      <c r="F142" t="s">
        <v>33</v>
      </c>
      <c r="G142" t="s">
        <v>23</v>
      </c>
      <c r="H142">
        <v>18</v>
      </c>
      <c r="I142">
        <v>404</v>
      </c>
      <c r="J142">
        <v>7272</v>
      </c>
    </row>
    <row r="143" spans="1:10">
      <c r="A143" t="s">
        <v>256</v>
      </c>
      <c r="B143" t="s">
        <v>30</v>
      </c>
      <c r="C143" t="s">
        <v>174</v>
      </c>
      <c r="D143" t="s">
        <v>46</v>
      </c>
      <c r="E143" t="s">
        <v>21</v>
      </c>
      <c r="F143" t="s">
        <v>58</v>
      </c>
      <c r="G143" t="s">
        <v>23</v>
      </c>
      <c r="H143">
        <v>5</v>
      </c>
      <c r="I143">
        <v>459</v>
      </c>
      <c r="J143">
        <v>2295</v>
      </c>
    </row>
    <row r="144" spans="1:10">
      <c r="A144" t="s">
        <v>257</v>
      </c>
      <c r="B144" t="s">
        <v>120</v>
      </c>
      <c r="C144" t="s">
        <v>121</v>
      </c>
      <c r="D144" t="s">
        <v>63</v>
      </c>
      <c r="E144" t="s">
        <v>14</v>
      </c>
      <c r="F144" t="s">
        <v>15</v>
      </c>
      <c r="G144" t="s">
        <v>16</v>
      </c>
      <c r="H144">
        <v>25</v>
      </c>
      <c r="I144">
        <v>749</v>
      </c>
      <c r="J144">
        <v>18725</v>
      </c>
    </row>
    <row r="145" spans="1:10">
      <c r="A145" t="s">
        <v>211</v>
      </c>
      <c r="B145" t="s">
        <v>11</v>
      </c>
      <c r="C145" t="s">
        <v>258</v>
      </c>
      <c r="D145" t="s">
        <v>100</v>
      </c>
      <c r="E145" t="s">
        <v>41</v>
      </c>
      <c r="F145" t="s">
        <v>28</v>
      </c>
      <c r="G145" t="s">
        <v>23</v>
      </c>
      <c r="H145">
        <v>4</v>
      </c>
      <c r="I145">
        <v>282</v>
      </c>
      <c r="J145">
        <v>1128</v>
      </c>
    </row>
    <row r="146" spans="1:10">
      <c r="A146" t="s">
        <v>259</v>
      </c>
      <c r="B146" t="s">
        <v>25</v>
      </c>
      <c r="C146" t="s">
        <v>241</v>
      </c>
      <c r="D146" t="s">
        <v>242</v>
      </c>
      <c r="E146" t="s">
        <v>14</v>
      </c>
      <c r="F146" t="s">
        <v>15</v>
      </c>
      <c r="G146" t="s">
        <v>16</v>
      </c>
      <c r="H146">
        <v>25</v>
      </c>
      <c r="I146">
        <v>744</v>
      </c>
      <c r="J146">
        <v>18600</v>
      </c>
    </row>
    <row r="147" spans="1:10">
      <c r="A147" t="s">
        <v>192</v>
      </c>
      <c r="B147" t="s">
        <v>38</v>
      </c>
      <c r="C147" t="s">
        <v>62</v>
      </c>
      <c r="D147" t="s">
        <v>63</v>
      </c>
      <c r="E147" t="s">
        <v>14</v>
      </c>
      <c r="F147" t="s">
        <v>42</v>
      </c>
      <c r="G147" t="s">
        <v>23</v>
      </c>
      <c r="H147">
        <v>16</v>
      </c>
      <c r="I147">
        <v>435</v>
      </c>
      <c r="J147">
        <v>6960</v>
      </c>
    </row>
    <row r="148" spans="1:10">
      <c r="A148" t="s">
        <v>260</v>
      </c>
      <c r="B148" t="s">
        <v>88</v>
      </c>
      <c r="C148" t="s">
        <v>76</v>
      </c>
      <c r="D148" t="s">
        <v>77</v>
      </c>
      <c r="E148" t="s">
        <v>41</v>
      </c>
      <c r="F148" t="s">
        <v>22</v>
      </c>
      <c r="G148" t="s">
        <v>23</v>
      </c>
      <c r="H148">
        <v>8</v>
      </c>
      <c r="I148">
        <v>409</v>
      </c>
      <c r="J148">
        <v>3272</v>
      </c>
    </row>
    <row r="149" spans="1:10">
      <c r="A149" t="s">
        <v>189</v>
      </c>
      <c r="B149" t="s">
        <v>110</v>
      </c>
      <c r="C149" t="s">
        <v>220</v>
      </c>
      <c r="D149" t="s">
        <v>221</v>
      </c>
      <c r="E149" t="s">
        <v>21</v>
      </c>
      <c r="F149" t="s">
        <v>15</v>
      </c>
      <c r="G149" t="s">
        <v>16</v>
      </c>
      <c r="H149">
        <v>17</v>
      </c>
      <c r="I149">
        <v>749</v>
      </c>
      <c r="J149">
        <v>12733</v>
      </c>
    </row>
    <row r="150" spans="1:10">
      <c r="A150" t="s">
        <v>229</v>
      </c>
      <c r="B150" t="s">
        <v>18</v>
      </c>
      <c r="C150" t="s">
        <v>228</v>
      </c>
      <c r="D150" t="s">
        <v>164</v>
      </c>
      <c r="E150" t="s">
        <v>41</v>
      </c>
      <c r="F150" t="s">
        <v>42</v>
      </c>
      <c r="G150" t="s">
        <v>23</v>
      </c>
      <c r="H150">
        <v>19</v>
      </c>
      <c r="I150">
        <v>423</v>
      </c>
      <c r="J150">
        <v>8037</v>
      </c>
    </row>
    <row r="151" spans="1:10">
      <c r="A151" t="s">
        <v>261</v>
      </c>
      <c r="B151" t="s">
        <v>38</v>
      </c>
      <c r="C151" t="s">
        <v>193</v>
      </c>
      <c r="D151" t="s">
        <v>118</v>
      </c>
      <c r="E151" t="s">
        <v>14</v>
      </c>
      <c r="F151" t="s">
        <v>58</v>
      </c>
      <c r="G151" t="s">
        <v>23</v>
      </c>
      <c r="H151">
        <v>13</v>
      </c>
      <c r="I151">
        <v>455</v>
      </c>
      <c r="J151">
        <v>5915</v>
      </c>
    </row>
    <row r="152" spans="1:10">
      <c r="A152" t="s">
        <v>262</v>
      </c>
      <c r="B152" t="s">
        <v>30</v>
      </c>
      <c r="C152" t="s">
        <v>263</v>
      </c>
      <c r="D152" t="s">
        <v>100</v>
      </c>
      <c r="E152" t="s">
        <v>21</v>
      </c>
      <c r="F152" t="s">
        <v>42</v>
      </c>
      <c r="G152" t="s">
        <v>23</v>
      </c>
      <c r="H152">
        <v>1</v>
      </c>
      <c r="I152">
        <v>413</v>
      </c>
      <c r="J152">
        <v>413</v>
      </c>
    </row>
    <row r="153" spans="1:10">
      <c r="A153" t="s">
        <v>173</v>
      </c>
      <c r="B153" t="s">
        <v>11</v>
      </c>
      <c r="C153" t="s">
        <v>258</v>
      </c>
      <c r="D153" t="s">
        <v>100</v>
      </c>
      <c r="E153" t="s">
        <v>41</v>
      </c>
      <c r="F153" t="s">
        <v>15</v>
      </c>
      <c r="G153" t="s">
        <v>16</v>
      </c>
      <c r="H153">
        <v>15</v>
      </c>
      <c r="I153">
        <v>753</v>
      </c>
      <c r="J153">
        <v>11295</v>
      </c>
    </row>
    <row r="154" spans="1:10">
      <c r="A154" t="s">
        <v>59</v>
      </c>
      <c r="B154" t="s">
        <v>110</v>
      </c>
      <c r="C154" t="s">
        <v>251</v>
      </c>
      <c r="D154" t="s">
        <v>137</v>
      </c>
      <c r="E154" t="s">
        <v>50</v>
      </c>
      <c r="F154" t="s">
        <v>33</v>
      </c>
      <c r="G154" t="s">
        <v>23</v>
      </c>
      <c r="H154">
        <v>3</v>
      </c>
      <c r="I154">
        <v>406</v>
      </c>
      <c r="J154">
        <v>1218</v>
      </c>
    </row>
    <row r="155" spans="1:10">
      <c r="A155" t="s">
        <v>264</v>
      </c>
      <c r="B155" t="s">
        <v>52</v>
      </c>
      <c r="C155" t="s">
        <v>26</v>
      </c>
      <c r="D155" t="s">
        <v>27</v>
      </c>
      <c r="E155" t="s">
        <v>14</v>
      </c>
      <c r="F155" t="s">
        <v>150</v>
      </c>
      <c r="G155" t="s">
        <v>23</v>
      </c>
      <c r="H155">
        <v>13</v>
      </c>
      <c r="I155">
        <v>464</v>
      </c>
      <c r="J155">
        <v>6032</v>
      </c>
    </row>
    <row r="156" spans="1:10">
      <c r="A156" t="s">
        <v>265</v>
      </c>
      <c r="B156" t="s">
        <v>139</v>
      </c>
      <c r="C156" t="s">
        <v>207</v>
      </c>
      <c r="D156" t="s">
        <v>196</v>
      </c>
      <c r="E156" t="s">
        <v>50</v>
      </c>
      <c r="F156" t="s">
        <v>58</v>
      </c>
      <c r="G156" t="s">
        <v>23</v>
      </c>
      <c r="H156">
        <v>20</v>
      </c>
      <c r="I156">
        <v>469</v>
      </c>
      <c r="J156">
        <v>9380</v>
      </c>
    </row>
    <row r="157" spans="1:10">
      <c r="A157" t="s">
        <v>266</v>
      </c>
      <c r="B157" t="s">
        <v>44</v>
      </c>
      <c r="C157" t="s">
        <v>79</v>
      </c>
      <c r="D157" t="s">
        <v>80</v>
      </c>
      <c r="E157" t="s">
        <v>32</v>
      </c>
      <c r="F157" t="s">
        <v>33</v>
      </c>
      <c r="G157" t="s">
        <v>23</v>
      </c>
      <c r="H157">
        <v>17</v>
      </c>
      <c r="I157">
        <v>397</v>
      </c>
      <c r="J157">
        <v>6749</v>
      </c>
    </row>
    <row r="158" spans="1:10">
      <c r="A158" t="s">
        <v>267</v>
      </c>
      <c r="B158" t="s">
        <v>110</v>
      </c>
      <c r="C158" t="s">
        <v>220</v>
      </c>
      <c r="D158" t="s">
        <v>221</v>
      </c>
      <c r="E158" t="s">
        <v>21</v>
      </c>
      <c r="F158" t="s">
        <v>22</v>
      </c>
      <c r="G158" t="s">
        <v>23</v>
      </c>
      <c r="H158">
        <v>11</v>
      </c>
      <c r="I158">
        <v>415</v>
      </c>
      <c r="J158">
        <v>4565</v>
      </c>
    </row>
    <row r="159" spans="1:10">
      <c r="A159" t="s">
        <v>268</v>
      </c>
      <c r="B159" t="s">
        <v>25</v>
      </c>
      <c r="C159" t="s">
        <v>82</v>
      </c>
      <c r="D159" t="s">
        <v>83</v>
      </c>
      <c r="E159" t="s">
        <v>41</v>
      </c>
      <c r="F159" t="s">
        <v>15</v>
      </c>
      <c r="G159" t="s">
        <v>16</v>
      </c>
      <c r="H159">
        <v>12</v>
      </c>
      <c r="I159">
        <v>765</v>
      </c>
      <c r="J159">
        <v>9180</v>
      </c>
    </row>
    <row r="160" spans="1:10">
      <c r="A160" t="s">
        <v>269</v>
      </c>
      <c r="B160" t="s">
        <v>38</v>
      </c>
      <c r="C160" t="s">
        <v>270</v>
      </c>
      <c r="D160" t="s">
        <v>160</v>
      </c>
      <c r="E160" t="s">
        <v>50</v>
      </c>
      <c r="F160" t="s">
        <v>33</v>
      </c>
      <c r="G160" t="s">
        <v>23</v>
      </c>
      <c r="H160">
        <v>10</v>
      </c>
      <c r="I160">
        <v>396</v>
      </c>
      <c r="J160">
        <v>3960</v>
      </c>
    </row>
    <row r="161" spans="1:10">
      <c r="A161" t="s">
        <v>209</v>
      </c>
      <c r="B161" t="s">
        <v>95</v>
      </c>
      <c r="C161" t="s">
        <v>271</v>
      </c>
      <c r="D161" t="s">
        <v>103</v>
      </c>
      <c r="E161" t="s">
        <v>41</v>
      </c>
      <c r="F161" t="s">
        <v>22</v>
      </c>
      <c r="G161" t="s">
        <v>23</v>
      </c>
      <c r="H161">
        <v>14</v>
      </c>
      <c r="I161">
        <v>411</v>
      </c>
      <c r="J161">
        <v>5754</v>
      </c>
    </row>
    <row r="162" spans="1:10">
      <c r="A162" t="s">
        <v>61</v>
      </c>
      <c r="B162" t="s">
        <v>38</v>
      </c>
      <c r="C162" t="s">
        <v>62</v>
      </c>
      <c r="D162" t="s">
        <v>63</v>
      </c>
      <c r="E162" t="s">
        <v>14</v>
      </c>
      <c r="F162" t="s">
        <v>58</v>
      </c>
      <c r="G162" t="s">
        <v>23</v>
      </c>
      <c r="H162">
        <v>19</v>
      </c>
      <c r="I162">
        <v>477</v>
      </c>
      <c r="J162">
        <v>9063</v>
      </c>
    </row>
    <row r="163" spans="1:10">
      <c r="A163" t="s">
        <v>272</v>
      </c>
      <c r="B163" t="s">
        <v>44</v>
      </c>
      <c r="C163" t="s">
        <v>273</v>
      </c>
      <c r="D163" t="s">
        <v>71</v>
      </c>
      <c r="E163" t="s">
        <v>41</v>
      </c>
      <c r="F163" t="s">
        <v>42</v>
      </c>
      <c r="G163" t="s">
        <v>23</v>
      </c>
      <c r="H163">
        <v>22</v>
      </c>
      <c r="I163">
        <v>422</v>
      </c>
      <c r="J163">
        <v>9284</v>
      </c>
    </row>
    <row r="164" spans="1:10">
      <c r="A164" t="s">
        <v>67</v>
      </c>
      <c r="B164" t="s">
        <v>25</v>
      </c>
      <c r="C164" t="s">
        <v>169</v>
      </c>
      <c r="D164" t="s">
        <v>71</v>
      </c>
      <c r="E164" t="s">
        <v>32</v>
      </c>
      <c r="F164" t="s">
        <v>15</v>
      </c>
      <c r="G164" t="s">
        <v>16</v>
      </c>
      <c r="H164">
        <v>18</v>
      </c>
      <c r="I164">
        <v>763</v>
      </c>
      <c r="J164">
        <v>13734</v>
      </c>
    </row>
    <row r="165" spans="1:10">
      <c r="A165" t="s">
        <v>260</v>
      </c>
      <c r="B165" t="s">
        <v>88</v>
      </c>
      <c r="C165" t="s">
        <v>76</v>
      </c>
      <c r="D165" t="s">
        <v>77</v>
      </c>
      <c r="E165" t="s">
        <v>41</v>
      </c>
      <c r="F165" t="s">
        <v>22</v>
      </c>
      <c r="G165" t="s">
        <v>23</v>
      </c>
      <c r="H165">
        <v>8</v>
      </c>
      <c r="I165">
        <v>409</v>
      </c>
      <c r="J165">
        <v>3272</v>
      </c>
    </row>
    <row r="166" spans="1:10">
      <c r="A166" t="s">
        <v>274</v>
      </c>
      <c r="B166" t="s">
        <v>52</v>
      </c>
      <c r="C166" t="s">
        <v>26</v>
      </c>
      <c r="D166" t="s">
        <v>27</v>
      </c>
      <c r="E166" t="s">
        <v>14</v>
      </c>
      <c r="F166" t="s">
        <v>28</v>
      </c>
      <c r="G166" t="s">
        <v>23</v>
      </c>
      <c r="H166">
        <v>9</v>
      </c>
      <c r="I166">
        <v>296</v>
      </c>
      <c r="J166">
        <v>2664</v>
      </c>
    </row>
    <row r="167" spans="1:10">
      <c r="A167" t="s">
        <v>153</v>
      </c>
      <c r="B167" t="s">
        <v>25</v>
      </c>
      <c r="C167" t="s">
        <v>76</v>
      </c>
      <c r="D167" t="s">
        <v>77</v>
      </c>
      <c r="E167" t="s">
        <v>41</v>
      </c>
      <c r="F167" t="s">
        <v>28</v>
      </c>
      <c r="G167" t="s">
        <v>23</v>
      </c>
      <c r="H167">
        <v>22</v>
      </c>
      <c r="I167">
        <v>289</v>
      </c>
      <c r="J167">
        <v>6358</v>
      </c>
    </row>
    <row r="168" spans="1:10">
      <c r="A168" t="s">
        <v>113</v>
      </c>
      <c r="B168" t="s">
        <v>44</v>
      </c>
      <c r="C168" t="s">
        <v>31</v>
      </c>
      <c r="D168" t="s">
        <v>20</v>
      </c>
      <c r="E168" t="s">
        <v>32</v>
      </c>
      <c r="F168" t="s">
        <v>42</v>
      </c>
      <c r="G168" t="s">
        <v>23</v>
      </c>
      <c r="H168">
        <v>16</v>
      </c>
      <c r="I168">
        <v>421</v>
      </c>
      <c r="J168">
        <v>6736</v>
      </c>
    </row>
    <row r="169" spans="1:10">
      <c r="A169" t="s">
        <v>264</v>
      </c>
      <c r="B169" t="s">
        <v>52</v>
      </c>
      <c r="C169" t="s">
        <v>26</v>
      </c>
      <c r="D169" t="s">
        <v>27</v>
      </c>
      <c r="E169" t="s">
        <v>14</v>
      </c>
      <c r="F169" t="s">
        <v>58</v>
      </c>
      <c r="G169" t="s">
        <v>23</v>
      </c>
      <c r="H169">
        <v>13</v>
      </c>
      <c r="I169">
        <v>464</v>
      </c>
      <c r="J169">
        <v>6032</v>
      </c>
    </row>
    <row r="170" spans="1:10">
      <c r="A170" t="s">
        <v>230</v>
      </c>
      <c r="B170" t="s">
        <v>38</v>
      </c>
      <c r="C170" t="s">
        <v>127</v>
      </c>
      <c r="D170" t="s">
        <v>128</v>
      </c>
      <c r="E170" t="s">
        <v>41</v>
      </c>
      <c r="F170" t="s">
        <v>15</v>
      </c>
      <c r="G170" t="s">
        <v>16</v>
      </c>
      <c r="I170">
        <v>761</v>
      </c>
    </row>
    <row r="171" spans="1:10">
      <c r="A171" t="s">
        <v>252</v>
      </c>
      <c r="B171" t="s">
        <v>120</v>
      </c>
      <c r="C171" t="s">
        <v>149</v>
      </c>
      <c r="D171" t="s">
        <v>115</v>
      </c>
      <c r="E171" t="s">
        <v>50</v>
      </c>
      <c r="F171" t="s">
        <v>15</v>
      </c>
      <c r="G171" t="s">
        <v>16</v>
      </c>
      <c r="H171">
        <v>19</v>
      </c>
      <c r="I171">
        <v>745</v>
      </c>
      <c r="J171">
        <v>14155</v>
      </c>
    </row>
    <row r="172" spans="1:10">
      <c r="A172" t="s">
        <v>78</v>
      </c>
      <c r="B172" t="s">
        <v>52</v>
      </c>
      <c r="C172" t="s">
        <v>214</v>
      </c>
      <c r="D172" t="s">
        <v>77</v>
      </c>
      <c r="E172" t="s">
        <v>21</v>
      </c>
      <c r="F172" t="s">
        <v>22</v>
      </c>
      <c r="G172" t="s">
        <v>23</v>
      </c>
      <c r="H172">
        <v>7</v>
      </c>
      <c r="I172">
        <v>408</v>
      </c>
      <c r="J172">
        <v>2856</v>
      </c>
    </row>
    <row r="173" spans="1:10">
      <c r="A173" t="s">
        <v>230</v>
      </c>
      <c r="B173" t="s">
        <v>38</v>
      </c>
      <c r="C173" t="s">
        <v>200</v>
      </c>
      <c r="D173" t="s">
        <v>100</v>
      </c>
      <c r="E173" t="s">
        <v>21</v>
      </c>
      <c r="F173" t="s">
        <v>22</v>
      </c>
      <c r="G173" t="s">
        <v>23</v>
      </c>
      <c r="H173">
        <v>23</v>
      </c>
      <c r="I173">
        <v>421</v>
      </c>
      <c r="J173">
        <v>9683</v>
      </c>
    </row>
    <row r="174" spans="1:10">
      <c r="A174" t="s">
        <v>148</v>
      </c>
      <c r="B174" t="s">
        <v>120</v>
      </c>
      <c r="C174" t="s">
        <v>149</v>
      </c>
      <c r="D174" t="s">
        <v>115</v>
      </c>
      <c r="E174" t="s">
        <v>50</v>
      </c>
      <c r="F174" t="s">
        <v>58</v>
      </c>
      <c r="G174" t="s">
        <v>23</v>
      </c>
      <c r="H174">
        <v>5</v>
      </c>
      <c r="I174">
        <v>465</v>
      </c>
      <c r="J174">
        <v>2325</v>
      </c>
    </row>
    <row r="175" spans="1:10">
      <c r="A175" t="s">
        <v>275</v>
      </c>
      <c r="B175" t="s">
        <v>30</v>
      </c>
      <c r="C175" t="s">
        <v>79</v>
      </c>
      <c r="D175" t="s">
        <v>80</v>
      </c>
      <c r="E175" t="s">
        <v>32</v>
      </c>
      <c r="F175" t="s">
        <v>58</v>
      </c>
      <c r="G175" t="s">
        <v>23</v>
      </c>
      <c r="H175">
        <v>22</v>
      </c>
      <c r="I175">
        <v>452</v>
      </c>
      <c r="J175">
        <v>9944</v>
      </c>
    </row>
    <row r="176" spans="1:10">
      <c r="A176" t="s">
        <v>170</v>
      </c>
      <c r="B176" t="s">
        <v>110</v>
      </c>
      <c r="C176" t="s">
        <v>271</v>
      </c>
      <c r="D176" t="s">
        <v>103</v>
      </c>
      <c r="E176" t="s">
        <v>41</v>
      </c>
      <c r="F176" t="s">
        <v>58</v>
      </c>
      <c r="G176" t="s">
        <v>23</v>
      </c>
      <c r="H176">
        <v>2</v>
      </c>
      <c r="I176">
        <v>463</v>
      </c>
      <c r="J176">
        <v>926</v>
      </c>
    </row>
    <row r="177" spans="1:10">
      <c r="A177" t="s">
        <v>43</v>
      </c>
      <c r="B177" t="s">
        <v>88</v>
      </c>
      <c r="C177" t="s">
        <v>241</v>
      </c>
      <c r="D177" t="s">
        <v>242</v>
      </c>
      <c r="E177" t="s">
        <v>14</v>
      </c>
      <c r="F177" t="s">
        <v>42</v>
      </c>
      <c r="G177" t="s">
        <v>23</v>
      </c>
      <c r="H177">
        <v>20</v>
      </c>
      <c r="I177">
        <v>430</v>
      </c>
      <c r="J177">
        <v>8600</v>
      </c>
    </row>
    <row r="178" spans="1:10">
      <c r="A178" t="s">
        <v>107</v>
      </c>
      <c r="B178" t="s">
        <v>38</v>
      </c>
      <c r="C178" t="s">
        <v>270</v>
      </c>
      <c r="D178" t="s">
        <v>160</v>
      </c>
      <c r="E178" t="s">
        <v>50</v>
      </c>
      <c r="F178" t="s">
        <v>22</v>
      </c>
      <c r="G178" t="s">
        <v>23</v>
      </c>
      <c r="H178">
        <v>16</v>
      </c>
      <c r="I178">
        <v>406</v>
      </c>
      <c r="J178">
        <v>6496</v>
      </c>
    </row>
    <row r="179" spans="1:10">
      <c r="A179" t="s">
        <v>94</v>
      </c>
      <c r="B179" t="s">
        <v>44</v>
      </c>
      <c r="C179" t="s">
        <v>276</v>
      </c>
      <c r="D179" t="s">
        <v>164</v>
      </c>
      <c r="E179" t="s">
        <v>32</v>
      </c>
      <c r="F179" t="s">
        <v>33</v>
      </c>
      <c r="G179" t="s">
        <v>23</v>
      </c>
      <c r="H179">
        <v>4</v>
      </c>
      <c r="I179">
        <v>397</v>
      </c>
      <c r="J179">
        <v>1588</v>
      </c>
    </row>
    <row r="180" spans="1:10">
      <c r="A180" t="s">
        <v>277</v>
      </c>
      <c r="B180" t="s">
        <v>120</v>
      </c>
      <c r="C180" t="s">
        <v>278</v>
      </c>
      <c r="D180" t="s">
        <v>242</v>
      </c>
      <c r="E180" t="s">
        <v>32</v>
      </c>
      <c r="F180" t="s">
        <v>22</v>
      </c>
      <c r="G180" t="s">
        <v>23</v>
      </c>
      <c r="H180">
        <v>20</v>
      </c>
      <c r="I180">
        <v>398</v>
      </c>
      <c r="J180">
        <v>7960</v>
      </c>
    </row>
    <row r="181" spans="1:10">
      <c r="A181" t="s">
        <v>279</v>
      </c>
      <c r="B181" t="s">
        <v>120</v>
      </c>
      <c r="C181" t="s">
        <v>188</v>
      </c>
      <c r="D181" t="s">
        <v>152</v>
      </c>
      <c r="E181" t="s">
        <v>21</v>
      </c>
      <c r="F181" t="s">
        <v>22</v>
      </c>
      <c r="G181" t="s">
        <v>23</v>
      </c>
      <c r="H181">
        <v>15</v>
      </c>
      <c r="I181">
        <v>396</v>
      </c>
      <c r="J181">
        <v>5940</v>
      </c>
    </row>
    <row r="182" spans="1:10">
      <c r="A182" t="s">
        <v>280</v>
      </c>
      <c r="B182" t="s">
        <v>88</v>
      </c>
      <c r="C182" t="s">
        <v>281</v>
      </c>
      <c r="D182" t="s">
        <v>131</v>
      </c>
      <c r="E182" t="s">
        <v>32</v>
      </c>
      <c r="F182" t="s">
        <v>42</v>
      </c>
      <c r="G182" t="s">
        <v>23</v>
      </c>
      <c r="H182">
        <v>7</v>
      </c>
      <c r="I182">
        <v>428</v>
      </c>
      <c r="J182">
        <v>2996</v>
      </c>
    </row>
    <row r="183" spans="1:10">
      <c r="A183" t="s">
        <v>98</v>
      </c>
      <c r="B183" t="s">
        <v>108</v>
      </c>
      <c r="C183" t="s">
        <v>282</v>
      </c>
      <c r="D183" t="s">
        <v>131</v>
      </c>
      <c r="E183" t="s">
        <v>41</v>
      </c>
      <c r="F183" t="s">
        <v>22</v>
      </c>
      <c r="G183" t="s">
        <v>23</v>
      </c>
      <c r="H183">
        <v>9</v>
      </c>
      <c r="I183">
        <v>418</v>
      </c>
      <c r="J183">
        <v>3762</v>
      </c>
    </row>
    <row r="184" spans="1:10">
      <c r="A184" t="s">
        <v>283</v>
      </c>
      <c r="B184" t="s">
        <v>110</v>
      </c>
      <c r="C184" t="s">
        <v>228</v>
      </c>
      <c r="D184" t="s">
        <v>164</v>
      </c>
      <c r="E184" t="s">
        <v>41</v>
      </c>
      <c r="F184" t="s">
        <v>22</v>
      </c>
      <c r="G184" t="s">
        <v>23</v>
      </c>
      <c r="H184">
        <v>4</v>
      </c>
      <c r="I184">
        <v>412</v>
      </c>
      <c r="J184">
        <v>1648</v>
      </c>
    </row>
    <row r="185" spans="1:10">
      <c r="A185" t="s">
        <v>157</v>
      </c>
      <c r="B185" t="s">
        <v>11</v>
      </c>
      <c r="C185" t="s">
        <v>284</v>
      </c>
      <c r="D185" t="s">
        <v>66</v>
      </c>
      <c r="E185" t="s">
        <v>14</v>
      </c>
      <c r="F185" t="s">
        <v>58</v>
      </c>
      <c r="G185" t="s">
        <v>23</v>
      </c>
      <c r="H185">
        <v>16</v>
      </c>
      <c r="I185">
        <v>464</v>
      </c>
      <c r="J185">
        <v>7424</v>
      </c>
    </row>
    <row r="186" spans="1:10">
      <c r="A186" t="s">
        <v>146</v>
      </c>
      <c r="B186" t="s">
        <v>108</v>
      </c>
      <c r="C186" t="s">
        <v>263</v>
      </c>
      <c r="D186" t="s">
        <v>100</v>
      </c>
      <c r="E186" t="s">
        <v>21</v>
      </c>
      <c r="F186" t="s">
        <v>22</v>
      </c>
      <c r="G186" t="s">
        <v>23</v>
      </c>
      <c r="H186">
        <v>13</v>
      </c>
      <c r="I186">
        <v>420</v>
      </c>
      <c r="J186">
        <v>5460</v>
      </c>
    </row>
    <row r="187" spans="1:10">
      <c r="A187" t="s">
        <v>285</v>
      </c>
      <c r="B187" t="s">
        <v>11</v>
      </c>
      <c r="C187" t="s">
        <v>121</v>
      </c>
      <c r="D187" t="s">
        <v>63</v>
      </c>
      <c r="E187" t="s">
        <v>14</v>
      </c>
      <c r="F187" t="s">
        <v>22</v>
      </c>
      <c r="G187" t="s">
        <v>23</v>
      </c>
      <c r="H187">
        <v>3</v>
      </c>
      <c r="I187">
        <v>404</v>
      </c>
      <c r="J187">
        <v>1212</v>
      </c>
    </row>
    <row r="188" spans="1:10">
      <c r="A188" t="s">
        <v>286</v>
      </c>
      <c r="B188" t="s">
        <v>120</v>
      </c>
      <c r="C188" t="s">
        <v>92</v>
      </c>
      <c r="D188" t="s">
        <v>93</v>
      </c>
      <c r="E188" t="s">
        <v>14</v>
      </c>
      <c r="F188" t="s">
        <v>42</v>
      </c>
      <c r="G188" t="s">
        <v>23</v>
      </c>
      <c r="H188">
        <v>22</v>
      </c>
      <c r="I188">
        <v>411</v>
      </c>
      <c r="J188">
        <v>9042</v>
      </c>
    </row>
    <row r="189" spans="1:10">
      <c r="A189" t="s">
        <v>287</v>
      </c>
      <c r="B189" t="s">
        <v>44</v>
      </c>
      <c r="C189" t="s">
        <v>288</v>
      </c>
      <c r="D189" t="s">
        <v>164</v>
      </c>
      <c r="E189" t="s">
        <v>21</v>
      </c>
      <c r="F189" t="s">
        <v>58</v>
      </c>
      <c r="G189" t="s">
        <v>23</v>
      </c>
      <c r="H189">
        <v>10</v>
      </c>
      <c r="I189">
        <v>460</v>
      </c>
      <c r="J189">
        <v>4600</v>
      </c>
    </row>
    <row r="190" spans="1:10">
      <c r="A190" t="s">
        <v>289</v>
      </c>
      <c r="B190" t="s">
        <v>108</v>
      </c>
      <c r="C190" t="s">
        <v>210</v>
      </c>
      <c r="D190" t="s">
        <v>131</v>
      </c>
      <c r="E190" t="s">
        <v>32</v>
      </c>
      <c r="F190" t="s">
        <v>42</v>
      </c>
      <c r="G190" t="s">
        <v>23</v>
      </c>
      <c r="H190">
        <v>11</v>
      </c>
      <c r="I190">
        <v>417</v>
      </c>
      <c r="J190">
        <v>4587</v>
      </c>
    </row>
    <row r="191" spans="1:10">
      <c r="A191" t="s">
        <v>290</v>
      </c>
      <c r="B191" t="s">
        <v>108</v>
      </c>
      <c r="C191" t="s">
        <v>151</v>
      </c>
      <c r="D191" t="s">
        <v>152</v>
      </c>
      <c r="E191" t="s">
        <v>50</v>
      </c>
      <c r="F191" t="s">
        <v>15</v>
      </c>
      <c r="G191" t="s">
        <v>16</v>
      </c>
      <c r="H191">
        <v>17</v>
      </c>
      <c r="I191">
        <v>762</v>
      </c>
      <c r="J191">
        <v>12954</v>
      </c>
    </row>
    <row r="192" spans="1:10">
      <c r="A192" t="s">
        <v>69</v>
      </c>
      <c r="B192" t="s">
        <v>95</v>
      </c>
      <c r="C192" t="s">
        <v>96</v>
      </c>
      <c r="D192" t="s">
        <v>97</v>
      </c>
      <c r="E192" t="s">
        <v>21</v>
      </c>
      <c r="F192" t="s">
        <v>22</v>
      </c>
      <c r="G192" t="s">
        <v>23</v>
      </c>
      <c r="H192">
        <v>2</v>
      </c>
      <c r="I192">
        <v>402</v>
      </c>
      <c r="J192">
        <v>804</v>
      </c>
    </row>
    <row r="193" spans="1:10">
      <c r="A193" t="s">
        <v>289</v>
      </c>
      <c r="B193" t="s">
        <v>88</v>
      </c>
      <c r="C193" t="s">
        <v>281</v>
      </c>
      <c r="D193" t="s">
        <v>131</v>
      </c>
      <c r="E193" t="s">
        <v>32</v>
      </c>
      <c r="F193" t="s">
        <v>22</v>
      </c>
      <c r="G193" t="s">
        <v>23</v>
      </c>
      <c r="H193">
        <v>20</v>
      </c>
      <c r="I193">
        <v>407</v>
      </c>
      <c r="J193">
        <v>8140</v>
      </c>
    </row>
    <row r="194" spans="1:10">
      <c r="A194" t="s">
        <v>266</v>
      </c>
      <c r="B194" t="s">
        <v>44</v>
      </c>
      <c r="C194" t="s">
        <v>224</v>
      </c>
      <c r="D194" t="s">
        <v>106</v>
      </c>
      <c r="E194" t="s">
        <v>41</v>
      </c>
      <c r="F194" t="s">
        <v>28</v>
      </c>
      <c r="G194" t="s">
        <v>23</v>
      </c>
      <c r="H194">
        <v>2</v>
      </c>
      <c r="I194">
        <v>287</v>
      </c>
      <c r="J194">
        <v>574</v>
      </c>
    </row>
    <row r="195" spans="1:10">
      <c r="A195" t="s">
        <v>29</v>
      </c>
      <c r="B195" t="s">
        <v>38</v>
      </c>
      <c r="C195" t="s">
        <v>253</v>
      </c>
      <c r="D195" t="s">
        <v>239</v>
      </c>
      <c r="E195" t="s">
        <v>21</v>
      </c>
      <c r="F195" t="s">
        <v>33</v>
      </c>
      <c r="G195" t="s">
        <v>23</v>
      </c>
      <c r="H195">
        <v>25</v>
      </c>
      <c r="I195">
        <v>390</v>
      </c>
      <c r="J195">
        <v>9750</v>
      </c>
    </row>
    <row r="196" spans="1:10">
      <c r="A196" t="s">
        <v>141</v>
      </c>
      <c r="B196" t="s">
        <v>11</v>
      </c>
      <c r="C196" t="s">
        <v>56</v>
      </c>
      <c r="D196" t="s">
        <v>57</v>
      </c>
      <c r="E196" t="s">
        <v>32</v>
      </c>
      <c r="F196" t="s">
        <v>15</v>
      </c>
      <c r="G196" t="s">
        <v>16</v>
      </c>
      <c r="H196">
        <v>4</v>
      </c>
      <c r="I196">
        <v>756</v>
      </c>
      <c r="J196">
        <v>3024</v>
      </c>
    </row>
    <row r="197" spans="1:10">
      <c r="A197" t="s">
        <v>189</v>
      </c>
      <c r="B197" t="s">
        <v>120</v>
      </c>
      <c r="C197" t="s">
        <v>125</v>
      </c>
      <c r="D197" t="s">
        <v>112</v>
      </c>
      <c r="E197" t="s">
        <v>32</v>
      </c>
      <c r="F197" t="s">
        <v>42</v>
      </c>
      <c r="G197" t="s">
        <v>23</v>
      </c>
      <c r="H197">
        <v>13</v>
      </c>
      <c r="I197">
        <v>423</v>
      </c>
      <c r="J197">
        <v>5499</v>
      </c>
    </row>
    <row r="198" spans="1:10">
      <c r="A198" t="s">
        <v>291</v>
      </c>
      <c r="B198" t="s">
        <v>73</v>
      </c>
      <c r="C198" t="s">
        <v>74</v>
      </c>
      <c r="D198" t="s">
        <v>36</v>
      </c>
      <c r="E198" t="s">
        <v>41</v>
      </c>
      <c r="F198" t="s">
        <v>22</v>
      </c>
      <c r="G198" t="s">
        <v>23</v>
      </c>
      <c r="H198">
        <v>22</v>
      </c>
      <c r="I198">
        <v>414</v>
      </c>
      <c r="J198">
        <v>9108</v>
      </c>
    </row>
    <row r="199" spans="1:10">
      <c r="A199" t="s">
        <v>143</v>
      </c>
      <c r="B199" t="s">
        <v>38</v>
      </c>
      <c r="C199" t="s">
        <v>255</v>
      </c>
      <c r="D199" t="s">
        <v>27</v>
      </c>
      <c r="E199" t="s">
        <v>41</v>
      </c>
      <c r="F199" t="s">
        <v>15</v>
      </c>
      <c r="G199" t="s">
        <v>16</v>
      </c>
      <c r="H199">
        <v>18</v>
      </c>
      <c r="I199">
        <v>747</v>
      </c>
      <c r="J199">
        <v>13446</v>
      </c>
    </row>
    <row r="200" spans="1:10">
      <c r="A200" t="s">
        <v>165</v>
      </c>
      <c r="B200" t="s">
        <v>110</v>
      </c>
      <c r="C200" t="s">
        <v>134</v>
      </c>
      <c r="D200" t="s">
        <v>106</v>
      </c>
      <c r="E200" t="s">
        <v>41</v>
      </c>
      <c r="F200" t="s">
        <v>58</v>
      </c>
      <c r="G200" t="s">
        <v>23</v>
      </c>
      <c r="H200">
        <v>15</v>
      </c>
      <c r="I200">
        <v>479</v>
      </c>
      <c r="J200">
        <v>7185</v>
      </c>
    </row>
    <row r="201" spans="1:10">
      <c r="A201" t="s">
        <v>81</v>
      </c>
      <c r="B201" t="s">
        <v>139</v>
      </c>
      <c r="C201" t="s">
        <v>253</v>
      </c>
      <c r="D201" t="s">
        <v>239</v>
      </c>
      <c r="E201" t="s">
        <v>21</v>
      </c>
      <c r="F201" t="s">
        <v>58</v>
      </c>
      <c r="G201" t="s">
        <v>23</v>
      </c>
      <c r="H201">
        <v>17</v>
      </c>
      <c r="I201">
        <v>457</v>
      </c>
      <c r="J201">
        <v>7769</v>
      </c>
    </row>
    <row r="202" spans="1:10">
      <c r="A202" t="s">
        <v>64</v>
      </c>
      <c r="B202" t="s">
        <v>110</v>
      </c>
      <c r="C202" t="s">
        <v>251</v>
      </c>
      <c r="D202" t="s">
        <v>137</v>
      </c>
      <c r="E202" t="s">
        <v>50</v>
      </c>
      <c r="F202" t="s">
        <v>15</v>
      </c>
      <c r="G202" t="s">
        <v>16</v>
      </c>
      <c r="H202">
        <v>14</v>
      </c>
      <c r="I202">
        <v>744</v>
      </c>
      <c r="J202">
        <v>10416</v>
      </c>
    </row>
    <row r="203" spans="1:10">
      <c r="A203" t="s">
        <v>274</v>
      </c>
      <c r="B203" t="s">
        <v>88</v>
      </c>
      <c r="C203" t="s">
        <v>99</v>
      </c>
      <c r="D203" t="s">
        <v>100</v>
      </c>
      <c r="E203" t="s">
        <v>14</v>
      </c>
      <c r="F203" t="s">
        <v>28</v>
      </c>
      <c r="G203" t="s">
        <v>23</v>
      </c>
      <c r="H203">
        <v>20</v>
      </c>
      <c r="I203">
        <v>298</v>
      </c>
      <c r="J203">
        <v>5960</v>
      </c>
    </row>
    <row r="204" spans="1:10">
      <c r="A204" t="s">
        <v>292</v>
      </c>
      <c r="B204" t="s">
        <v>139</v>
      </c>
      <c r="C204" t="s">
        <v>253</v>
      </c>
      <c r="D204" t="s">
        <v>239</v>
      </c>
      <c r="E204" t="s">
        <v>21</v>
      </c>
      <c r="F204" t="s">
        <v>28</v>
      </c>
      <c r="G204" t="s">
        <v>23</v>
      </c>
      <c r="H204">
        <v>23</v>
      </c>
      <c r="I204">
        <v>273</v>
      </c>
      <c r="J204">
        <v>6279</v>
      </c>
    </row>
    <row r="205" spans="1:10">
      <c r="A205" t="s">
        <v>293</v>
      </c>
      <c r="B205" t="s">
        <v>88</v>
      </c>
      <c r="C205" t="s">
        <v>89</v>
      </c>
      <c r="D205" t="s">
        <v>90</v>
      </c>
      <c r="E205" t="s">
        <v>50</v>
      </c>
      <c r="F205" t="s">
        <v>33</v>
      </c>
      <c r="G205" t="s">
        <v>23</v>
      </c>
      <c r="H205">
        <v>7</v>
      </c>
      <c r="I205">
        <v>402</v>
      </c>
      <c r="J205">
        <v>2814</v>
      </c>
    </row>
    <row r="206" spans="1:10">
      <c r="A206" t="s">
        <v>264</v>
      </c>
      <c r="B206" t="s">
        <v>120</v>
      </c>
      <c r="C206" t="s">
        <v>68</v>
      </c>
      <c r="D206" t="s">
        <v>36</v>
      </c>
      <c r="E206" t="s">
        <v>50</v>
      </c>
      <c r="F206" t="s">
        <v>15</v>
      </c>
      <c r="G206" t="s">
        <v>16</v>
      </c>
      <c r="H206">
        <v>24</v>
      </c>
      <c r="I206">
        <v>743</v>
      </c>
      <c r="J206">
        <v>17832</v>
      </c>
    </row>
    <row r="207" spans="1:10">
      <c r="A207" t="s">
        <v>37</v>
      </c>
      <c r="B207" t="s">
        <v>88</v>
      </c>
      <c r="C207" t="s">
        <v>163</v>
      </c>
      <c r="D207" t="s">
        <v>164</v>
      </c>
      <c r="E207" t="s">
        <v>32</v>
      </c>
      <c r="F207" t="s">
        <v>22</v>
      </c>
      <c r="G207" t="s">
        <v>23</v>
      </c>
      <c r="H207">
        <v>16</v>
      </c>
      <c r="I207">
        <v>425</v>
      </c>
      <c r="J207">
        <v>6800</v>
      </c>
    </row>
    <row r="208" spans="1:10">
      <c r="A208" t="s">
        <v>222</v>
      </c>
      <c r="B208" t="s">
        <v>110</v>
      </c>
      <c r="C208" t="s">
        <v>294</v>
      </c>
      <c r="D208" t="s">
        <v>71</v>
      </c>
      <c r="E208" t="s">
        <v>14</v>
      </c>
      <c r="F208" t="s">
        <v>28</v>
      </c>
      <c r="G208" t="s">
        <v>23</v>
      </c>
      <c r="H208">
        <v>22</v>
      </c>
      <c r="I208">
        <v>289</v>
      </c>
      <c r="J208">
        <v>6358</v>
      </c>
    </row>
    <row r="209" spans="1:10">
      <c r="A209" t="s">
        <v>138</v>
      </c>
      <c r="B209" t="s">
        <v>52</v>
      </c>
      <c r="C209" t="s">
        <v>168</v>
      </c>
      <c r="D209" t="s">
        <v>115</v>
      </c>
      <c r="E209" t="s">
        <v>41</v>
      </c>
      <c r="F209" t="s">
        <v>42</v>
      </c>
      <c r="G209" t="s">
        <v>23</v>
      </c>
      <c r="H209">
        <v>11</v>
      </c>
      <c r="I209">
        <v>435</v>
      </c>
      <c r="J209">
        <v>4785</v>
      </c>
    </row>
    <row r="210" spans="1:10">
      <c r="A210" t="s">
        <v>295</v>
      </c>
      <c r="B210" t="s">
        <v>139</v>
      </c>
      <c r="C210" t="s">
        <v>296</v>
      </c>
      <c r="D210" t="s">
        <v>103</v>
      </c>
      <c r="E210" t="s">
        <v>32</v>
      </c>
      <c r="F210" t="s">
        <v>15</v>
      </c>
      <c r="G210" t="s">
        <v>16</v>
      </c>
      <c r="H210">
        <v>1</v>
      </c>
      <c r="I210">
        <v>748</v>
      </c>
      <c r="J210">
        <v>748</v>
      </c>
    </row>
    <row r="211" spans="1:10">
      <c r="A211" t="s">
        <v>225</v>
      </c>
      <c r="B211" t="s">
        <v>120</v>
      </c>
      <c r="C211" t="s">
        <v>258</v>
      </c>
      <c r="D211" t="s">
        <v>100</v>
      </c>
      <c r="E211" t="s">
        <v>41</v>
      </c>
      <c r="F211" t="s">
        <v>42</v>
      </c>
      <c r="G211" t="s">
        <v>23</v>
      </c>
      <c r="H211">
        <v>18</v>
      </c>
      <c r="I211">
        <v>429</v>
      </c>
      <c r="J211">
        <v>7722</v>
      </c>
    </row>
    <row r="212" spans="1:10">
      <c r="A212" t="s">
        <v>183</v>
      </c>
      <c r="B212" t="s">
        <v>139</v>
      </c>
      <c r="C212" t="s">
        <v>297</v>
      </c>
      <c r="D212" t="s">
        <v>106</v>
      </c>
      <c r="E212" t="s">
        <v>50</v>
      </c>
      <c r="F212" t="s">
        <v>15</v>
      </c>
      <c r="G212" t="s">
        <v>16</v>
      </c>
      <c r="H212">
        <v>21</v>
      </c>
      <c r="I212">
        <v>744</v>
      </c>
      <c r="J212">
        <v>15624</v>
      </c>
    </row>
    <row r="213" spans="1:10">
      <c r="A213" t="s">
        <v>201</v>
      </c>
      <c r="B213" t="s">
        <v>95</v>
      </c>
      <c r="C213" t="s">
        <v>19</v>
      </c>
      <c r="D213" t="s">
        <v>20</v>
      </c>
      <c r="E213" t="s">
        <v>21</v>
      </c>
      <c r="F213" t="s">
        <v>22</v>
      </c>
      <c r="G213" t="s">
        <v>23</v>
      </c>
      <c r="H213">
        <v>13</v>
      </c>
      <c r="I213">
        <v>405</v>
      </c>
      <c r="J213">
        <v>5265</v>
      </c>
    </row>
    <row r="214" spans="1:10">
      <c r="A214" t="s">
        <v>184</v>
      </c>
      <c r="B214" t="s">
        <v>108</v>
      </c>
      <c r="C214" t="s">
        <v>31</v>
      </c>
      <c r="D214" t="s">
        <v>20</v>
      </c>
      <c r="E214" t="s">
        <v>32</v>
      </c>
      <c r="F214" t="s">
        <v>42</v>
      </c>
      <c r="G214" t="s">
        <v>23</v>
      </c>
      <c r="H214">
        <v>5</v>
      </c>
      <c r="I214">
        <v>418</v>
      </c>
      <c r="J214">
        <v>2090</v>
      </c>
    </row>
    <row r="215" spans="1:10">
      <c r="A215" t="s">
        <v>155</v>
      </c>
      <c r="B215" t="s">
        <v>120</v>
      </c>
      <c r="C215" t="s">
        <v>35</v>
      </c>
      <c r="D215" t="s">
        <v>36</v>
      </c>
      <c r="E215" t="s">
        <v>14</v>
      </c>
      <c r="F215" t="s">
        <v>42</v>
      </c>
      <c r="G215" t="s">
        <v>23</v>
      </c>
      <c r="H215">
        <v>9</v>
      </c>
      <c r="I215">
        <v>434</v>
      </c>
      <c r="J215">
        <v>3906</v>
      </c>
    </row>
    <row r="216" spans="1:10">
      <c r="A216" t="s">
        <v>203</v>
      </c>
      <c r="B216" t="s">
        <v>38</v>
      </c>
      <c r="C216" t="s">
        <v>298</v>
      </c>
      <c r="D216" t="s">
        <v>137</v>
      </c>
      <c r="E216" t="s">
        <v>50</v>
      </c>
      <c r="F216" t="s">
        <v>28</v>
      </c>
      <c r="G216" t="s">
        <v>23</v>
      </c>
      <c r="H216">
        <v>3</v>
      </c>
      <c r="I216">
        <v>284</v>
      </c>
      <c r="J216">
        <v>852</v>
      </c>
    </row>
    <row r="217" spans="1:10">
      <c r="A217" t="s">
        <v>51</v>
      </c>
      <c r="B217" t="s">
        <v>108</v>
      </c>
      <c r="C217" t="s">
        <v>224</v>
      </c>
      <c r="D217" t="s">
        <v>106</v>
      </c>
      <c r="E217" t="s">
        <v>41</v>
      </c>
      <c r="F217" t="s">
        <v>33</v>
      </c>
      <c r="G217" t="s">
        <v>23</v>
      </c>
      <c r="H217">
        <v>10</v>
      </c>
      <c r="I217">
        <v>399</v>
      </c>
      <c r="J217">
        <v>3990</v>
      </c>
    </row>
    <row r="218" spans="1:10">
      <c r="A218" t="s">
        <v>218</v>
      </c>
      <c r="B218" t="s">
        <v>110</v>
      </c>
      <c r="C218" t="s">
        <v>134</v>
      </c>
      <c r="D218" t="s">
        <v>106</v>
      </c>
      <c r="E218" t="s">
        <v>41</v>
      </c>
      <c r="F218" t="s">
        <v>42</v>
      </c>
      <c r="G218" t="s">
        <v>23</v>
      </c>
      <c r="H218">
        <v>11</v>
      </c>
      <c r="I218">
        <v>428</v>
      </c>
      <c r="J218">
        <v>4708</v>
      </c>
    </row>
    <row r="219" spans="1:10">
      <c r="A219" t="s">
        <v>78</v>
      </c>
      <c r="B219" t="s">
        <v>44</v>
      </c>
      <c r="C219" t="s">
        <v>299</v>
      </c>
      <c r="D219" t="s">
        <v>300</v>
      </c>
      <c r="E219" t="s">
        <v>50</v>
      </c>
      <c r="F219" t="s">
        <v>58</v>
      </c>
      <c r="G219" t="s">
        <v>23</v>
      </c>
      <c r="H219">
        <v>4</v>
      </c>
      <c r="I219">
        <v>478</v>
      </c>
      <c r="J219">
        <v>1912</v>
      </c>
    </row>
    <row r="220" spans="1:10">
      <c r="A220" t="s">
        <v>175</v>
      </c>
      <c r="B220" t="s">
        <v>52</v>
      </c>
      <c r="C220" t="s">
        <v>301</v>
      </c>
      <c r="D220" t="s">
        <v>103</v>
      </c>
      <c r="E220" t="s">
        <v>14</v>
      </c>
      <c r="F220" t="s">
        <v>22</v>
      </c>
      <c r="G220" t="s">
        <v>23</v>
      </c>
      <c r="H220">
        <v>10</v>
      </c>
      <c r="I220">
        <v>415</v>
      </c>
      <c r="J220">
        <v>4150</v>
      </c>
    </row>
    <row r="221" spans="1:10">
      <c r="A221" t="s">
        <v>47</v>
      </c>
      <c r="B221" t="s">
        <v>38</v>
      </c>
      <c r="C221" t="s">
        <v>240</v>
      </c>
      <c r="D221" t="s">
        <v>239</v>
      </c>
      <c r="E221" t="s">
        <v>21</v>
      </c>
      <c r="F221" t="s">
        <v>28</v>
      </c>
      <c r="G221" t="s">
        <v>23</v>
      </c>
      <c r="H221">
        <v>22</v>
      </c>
      <c r="I221">
        <v>298</v>
      </c>
      <c r="J221">
        <v>6556</v>
      </c>
    </row>
    <row r="222" spans="1:10">
      <c r="A222" t="s">
        <v>252</v>
      </c>
      <c r="B222" t="s">
        <v>120</v>
      </c>
      <c r="C222" t="s">
        <v>92</v>
      </c>
      <c r="D222" t="s">
        <v>93</v>
      </c>
      <c r="E222" t="s">
        <v>14</v>
      </c>
      <c r="F222" t="s">
        <v>15</v>
      </c>
      <c r="G222" t="s">
        <v>16</v>
      </c>
      <c r="H222">
        <v>21</v>
      </c>
      <c r="I222">
        <v>765</v>
      </c>
      <c r="J222">
        <v>16065</v>
      </c>
    </row>
    <row r="223" spans="1:10">
      <c r="A223" t="s">
        <v>302</v>
      </c>
      <c r="B223" t="s">
        <v>11</v>
      </c>
      <c r="C223" t="s">
        <v>149</v>
      </c>
      <c r="D223" t="s">
        <v>115</v>
      </c>
      <c r="E223" t="s">
        <v>50</v>
      </c>
      <c r="F223" t="s">
        <v>15</v>
      </c>
      <c r="G223" t="s">
        <v>16</v>
      </c>
      <c r="H223">
        <v>3</v>
      </c>
      <c r="I223">
        <v>757</v>
      </c>
      <c r="J223">
        <v>2271</v>
      </c>
    </row>
    <row r="224" spans="1:10">
      <c r="A224" t="s">
        <v>84</v>
      </c>
      <c r="B224" t="s">
        <v>139</v>
      </c>
      <c r="C224" t="s">
        <v>62</v>
      </c>
      <c r="D224" t="s">
        <v>63</v>
      </c>
      <c r="E224" t="s">
        <v>14</v>
      </c>
      <c r="F224" t="s">
        <v>33</v>
      </c>
      <c r="G224" t="s">
        <v>23</v>
      </c>
      <c r="H224">
        <v>5</v>
      </c>
      <c r="I224">
        <v>381</v>
      </c>
      <c r="J224">
        <v>1905</v>
      </c>
    </row>
    <row r="225" spans="1:10">
      <c r="A225" t="s">
        <v>67</v>
      </c>
      <c r="B225" t="s">
        <v>11</v>
      </c>
      <c r="C225" t="s">
        <v>85</v>
      </c>
      <c r="D225" t="s">
        <v>86</v>
      </c>
      <c r="E225" t="s">
        <v>32</v>
      </c>
      <c r="F225" t="s">
        <v>33</v>
      </c>
      <c r="G225" t="s">
        <v>23</v>
      </c>
      <c r="H225">
        <v>11</v>
      </c>
      <c r="I225">
        <v>394</v>
      </c>
      <c r="J225">
        <v>4334</v>
      </c>
    </row>
    <row r="226" spans="1:10">
      <c r="A226" t="s">
        <v>180</v>
      </c>
      <c r="B226" t="s">
        <v>38</v>
      </c>
      <c r="C226" t="s">
        <v>297</v>
      </c>
      <c r="D226" t="s">
        <v>106</v>
      </c>
      <c r="E226" t="s">
        <v>50</v>
      </c>
      <c r="F226" t="s">
        <v>15</v>
      </c>
      <c r="G226" t="s">
        <v>16</v>
      </c>
      <c r="H226">
        <v>21</v>
      </c>
      <c r="I226">
        <v>745</v>
      </c>
      <c r="J226">
        <v>15645</v>
      </c>
    </row>
    <row r="227" spans="1:10">
      <c r="A227" t="s">
        <v>303</v>
      </c>
      <c r="B227" t="s">
        <v>95</v>
      </c>
      <c r="C227" t="s">
        <v>251</v>
      </c>
      <c r="D227" t="s">
        <v>137</v>
      </c>
      <c r="E227" t="s">
        <v>50</v>
      </c>
      <c r="F227" t="s">
        <v>42</v>
      </c>
      <c r="G227" t="s">
        <v>23</v>
      </c>
      <c r="H227">
        <v>25</v>
      </c>
      <c r="I227">
        <v>418</v>
      </c>
      <c r="J227">
        <v>10450</v>
      </c>
    </row>
    <row r="228" spans="1:10">
      <c r="A228" t="s">
        <v>184</v>
      </c>
      <c r="B228" t="s">
        <v>38</v>
      </c>
      <c r="C228" t="s">
        <v>114</v>
      </c>
      <c r="D228" t="s">
        <v>115</v>
      </c>
      <c r="E228" t="s">
        <v>41</v>
      </c>
      <c r="F228" t="s">
        <v>15</v>
      </c>
      <c r="G228" t="s">
        <v>16</v>
      </c>
      <c r="H228">
        <v>12</v>
      </c>
      <c r="I228">
        <v>762</v>
      </c>
      <c r="J228">
        <v>9144</v>
      </c>
    </row>
    <row r="229" spans="1:10">
      <c r="A229" t="s">
        <v>94</v>
      </c>
      <c r="B229" t="s">
        <v>88</v>
      </c>
      <c r="C229" t="s">
        <v>53</v>
      </c>
      <c r="D229" t="s">
        <v>54</v>
      </c>
      <c r="E229" t="s">
        <v>50</v>
      </c>
      <c r="F229" t="s">
        <v>42</v>
      </c>
      <c r="G229" t="s">
        <v>23</v>
      </c>
      <c r="H229">
        <v>2</v>
      </c>
      <c r="I229">
        <v>423</v>
      </c>
      <c r="J229">
        <v>846</v>
      </c>
    </row>
    <row r="230" spans="1:10">
      <c r="A230" t="s">
        <v>202</v>
      </c>
      <c r="B230" t="s">
        <v>88</v>
      </c>
      <c r="C230" t="s">
        <v>238</v>
      </c>
      <c r="D230" t="s">
        <v>239</v>
      </c>
      <c r="E230" t="s">
        <v>14</v>
      </c>
      <c r="F230" t="s">
        <v>28</v>
      </c>
      <c r="G230" t="s">
        <v>23</v>
      </c>
      <c r="H230">
        <v>7</v>
      </c>
      <c r="I230">
        <v>300</v>
      </c>
      <c r="J230">
        <v>2100</v>
      </c>
    </row>
    <row r="231" spans="1:10">
      <c r="A231" t="s">
        <v>304</v>
      </c>
      <c r="B231" t="s">
        <v>38</v>
      </c>
      <c r="C231" t="s">
        <v>166</v>
      </c>
      <c r="D231" t="s">
        <v>106</v>
      </c>
      <c r="E231" t="s">
        <v>14</v>
      </c>
      <c r="F231" t="s">
        <v>58</v>
      </c>
      <c r="G231" t="s">
        <v>23</v>
      </c>
      <c r="H231">
        <v>24</v>
      </c>
      <c r="I231">
        <v>476</v>
      </c>
      <c r="J231">
        <v>11424</v>
      </c>
    </row>
    <row r="232" spans="1:10">
      <c r="A232" t="s">
        <v>305</v>
      </c>
      <c r="B232" t="s">
        <v>139</v>
      </c>
      <c r="C232" t="s">
        <v>140</v>
      </c>
      <c r="D232" t="s">
        <v>118</v>
      </c>
      <c r="E232" t="s">
        <v>50</v>
      </c>
      <c r="F232" t="s">
        <v>42</v>
      </c>
      <c r="G232" t="s">
        <v>23</v>
      </c>
      <c r="H232">
        <v>10</v>
      </c>
      <c r="I232">
        <v>434</v>
      </c>
      <c r="J232">
        <v>4340</v>
      </c>
    </row>
    <row r="233" spans="1:10">
      <c r="A233" t="s">
        <v>306</v>
      </c>
      <c r="B233" t="s">
        <v>139</v>
      </c>
      <c r="C233" t="s">
        <v>297</v>
      </c>
      <c r="D233" t="s">
        <v>106</v>
      </c>
      <c r="E233" t="s">
        <v>50</v>
      </c>
      <c r="F233" t="s">
        <v>28</v>
      </c>
      <c r="G233" t="s">
        <v>23</v>
      </c>
      <c r="H233">
        <v>25</v>
      </c>
      <c r="I233">
        <v>287</v>
      </c>
      <c r="J233">
        <v>7175</v>
      </c>
    </row>
    <row r="234" spans="1:10">
      <c r="A234" t="s">
        <v>138</v>
      </c>
      <c r="B234" t="s">
        <v>25</v>
      </c>
      <c r="C234" t="s">
        <v>307</v>
      </c>
      <c r="D234" t="s">
        <v>115</v>
      </c>
      <c r="E234" t="s">
        <v>14</v>
      </c>
      <c r="F234" t="s">
        <v>22</v>
      </c>
      <c r="G234" t="s">
        <v>23</v>
      </c>
      <c r="H234">
        <v>4</v>
      </c>
      <c r="I234">
        <v>419</v>
      </c>
      <c r="J234">
        <v>1676</v>
      </c>
    </row>
    <row r="235" spans="1:10">
      <c r="A235" t="s">
        <v>201</v>
      </c>
      <c r="B235" t="s">
        <v>108</v>
      </c>
      <c r="C235" t="s">
        <v>31</v>
      </c>
      <c r="D235" t="s">
        <v>20</v>
      </c>
      <c r="E235" t="s">
        <v>32</v>
      </c>
      <c r="F235" t="s">
        <v>33</v>
      </c>
      <c r="G235" t="s">
        <v>23</v>
      </c>
      <c r="H235">
        <v>20</v>
      </c>
      <c r="I235">
        <v>405</v>
      </c>
      <c r="J235">
        <v>8100</v>
      </c>
    </row>
    <row r="236" spans="1:10">
      <c r="A236" t="s">
        <v>135</v>
      </c>
      <c r="B236" t="s">
        <v>110</v>
      </c>
      <c r="C236" t="s">
        <v>217</v>
      </c>
      <c r="D236" t="s">
        <v>93</v>
      </c>
      <c r="E236" t="s">
        <v>14</v>
      </c>
      <c r="F236" t="s">
        <v>22</v>
      </c>
      <c r="G236" t="s">
        <v>23</v>
      </c>
      <c r="H236">
        <v>14</v>
      </c>
      <c r="I236">
        <v>402</v>
      </c>
      <c r="J236">
        <v>5628</v>
      </c>
    </row>
    <row r="237" spans="1:10">
      <c r="A237" t="s">
        <v>177</v>
      </c>
      <c r="B237" t="s">
        <v>73</v>
      </c>
      <c r="C237" t="s">
        <v>70</v>
      </c>
      <c r="D237" t="s">
        <v>71</v>
      </c>
      <c r="E237" t="s">
        <v>50</v>
      </c>
      <c r="F237" t="s">
        <v>42</v>
      </c>
      <c r="G237" t="s">
        <v>23</v>
      </c>
      <c r="H237">
        <v>3</v>
      </c>
      <c r="I237">
        <v>427</v>
      </c>
      <c r="J237">
        <v>1281</v>
      </c>
    </row>
    <row r="238" spans="1:10">
      <c r="A238" t="s">
        <v>229</v>
      </c>
      <c r="B238" t="s">
        <v>52</v>
      </c>
      <c r="C238" t="s">
        <v>102</v>
      </c>
      <c r="D238" t="s">
        <v>103</v>
      </c>
      <c r="E238" t="s">
        <v>14</v>
      </c>
      <c r="F238" t="s">
        <v>22</v>
      </c>
      <c r="G238" t="s">
        <v>23</v>
      </c>
      <c r="H238">
        <v>5</v>
      </c>
      <c r="I238">
        <v>412</v>
      </c>
      <c r="J238">
        <v>2060</v>
      </c>
    </row>
    <row r="239" spans="1:10">
      <c r="A239" t="s">
        <v>250</v>
      </c>
      <c r="B239" t="s">
        <v>25</v>
      </c>
      <c r="C239" t="s">
        <v>181</v>
      </c>
      <c r="D239" t="s">
        <v>131</v>
      </c>
      <c r="E239" t="s">
        <v>41</v>
      </c>
      <c r="F239" t="s">
        <v>28</v>
      </c>
      <c r="G239" t="s">
        <v>23</v>
      </c>
      <c r="H239">
        <v>23</v>
      </c>
      <c r="I239">
        <v>287</v>
      </c>
      <c r="J239">
        <v>6601</v>
      </c>
    </row>
    <row r="240" spans="1:10">
      <c r="A240" t="s">
        <v>259</v>
      </c>
      <c r="B240" t="s">
        <v>11</v>
      </c>
      <c r="C240" t="s">
        <v>308</v>
      </c>
      <c r="D240" t="s">
        <v>128</v>
      </c>
      <c r="E240" t="s">
        <v>14</v>
      </c>
      <c r="F240" t="s">
        <v>42</v>
      </c>
      <c r="G240" t="s">
        <v>23</v>
      </c>
      <c r="H240">
        <v>9</v>
      </c>
      <c r="I240">
        <v>434</v>
      </c>
      <c r="J240">
        <v>3906</v>
      </c>
    </row>
    <row r="241" spans="1:10">
      <c r="A241" t="s">
        <v>165</v>
      </c>
      <c r="B241" t="s">
        <v>52</v>
      </c>
      <c r="C241" t="s">
        <v>102</v>
      </c>
      <c r="D241" t="s">
        <v>103</v>
      </c>
      <c r="E241" t="s">
        <v>14</v>
      </c>
      <c r="F241" t="s">
        <v>15</v>
      </c>
      <c r="G241" t="s">
        <v>16</v>
      </c>
      <c r="I241">
        <v>762</v>
      </c>
    </row>
    <row r="242" spans="1:10">
      <c r="A242" t="s">
        <v>81</v>
      </c>
      <c r="B242" t="s">
        <v>25</v>
      </c>
      <c r="C242" t="s">
        <v>307</v>
      </c>
      <c r="D242" t="s">
        <v>115</v>
      </c>
      <c r="E242" t="s">
        <v>14</v>
      </c>
      <c r="F242" t="s">
        <v>28</v>
      </c>
      <c r="G242" t="s">
        <v>23</v>
      </c>
      <c r="H242">
        <v>16</v>
      </c>
      <c r="I242">
        <v>287</v>
      </c>
      <c r="J242">
        <v>4592</v>
      </c>
    </row>
    <row r="243" spans="1:10">
      <c r="A243" t="s">
        <v>24</v>
      </c>
      <c r="B243" t="s">
        <v>11</v>
      </c>
      <c r="C243" t="s">
        <v>68</v>
      </c>
      <c r="D243" t="s">
        <v>36</v>
      </c>
      <c r="E243" t="s">
        <v>50</v>
      </c>
      <c r="F243" t="s">
        <v>28</v>
      </c>
      <c r="G243" t="s">
        <v>23</v>
      </c>
      <c r="H243">
        <v>3</v>
      </c>
      <c r="I243">
        <v>295</v>
      </c>
      <c r="J243">
        <v>885</v>
      </c>
    </row>
    <row r="244" spans="1:10">
      <c r="A244" t="s">
        <v>309</v>
      </c>
      <c r="B244" t="s">
        <v>88</v>
      </c>
      <c r="C244" t="s">
        <v>181</v>
      </c>
      <c r="D244" t="s">
        <v>131</v>
      </c>
      <c r="E244" t="s">
        <v>41</v>
      </c>
      <c r="F244" t="s">
        <v>15</v>
      </c>
      <c r="G244" t="s">
        <v>16</v>
      </c>
      <c r="H244">
        <v>8</v>
      </c>
      <c r="I244">
        <v>750</v>
      </c>
      <c r="J244">
        <v>6000</v>
      </c>
    </row>
    <row r="245" spans="1:10">
      <c r="A245" t="s">
        <v>153</v>
      </c>
      <c r="B245" t="s">
        <v>139</v>
      </c>
      <c r="C245" t="s">
        <v>255</v>
      </c>
      <c r="D245" t="s">
        <v>27</v>
      </c>
      <c r="E245" t="s">
        <v>41</v>
      </c>
      <c r="F245" t="s">
        <v>15</v>
      </c>
      <c r="G245" t="s">
        <v>16</v>
      </c>
      <c r="H245">
        <v>22</v>
      </c>
      <c r="I245">
        <v>739</v>
      </c>
      <c r="J245">
        <v>16258</v>
      </c>
    </row>
    <row r="246" spans="1:10">
      <c r="A246" t="s">
        <v>310</v>
      </c>
      <c r="B246" t="s">
        <v>52</v>
      </c>
      <c r="C246" t="s">
        <v>181</v>
      </c>
      <c r="D246" t="s">
        <v>131</v>
      </c>
      <c r="E246" t="s">
        <v>41</v>
      </c>
      <c r="F246" t="s">
        <v>28</v>
      </c>
      <c r="G246" t="s">
        <v>23</v>
      </c>
      <c r="H246">
        <v>7</v>
      </c>
      <c r="I246">
        <v>278</v>
      </c>
      <c r="J246">
        <v>1946</v>
      </c>
    </row>
    <row r="247" spans="1:10">
      <c r="A247" t="s">
        <v>277</v>
      </c>
      <c r="B247" t="s">
        <v>11</v>
      </c>
      <c r="C247" t="s">
        <v>258</v>
      </c>
      <c r="D247" t="s">
        <v>100</v>
      </c>
      <c r="E247" t="s">
        <v>41</v>
      </c>
      <c r="F247" t="s">
        <v>42</v>
      </c>
      <c r="G247" t="s">
        <v>23</v>
      </c>
      <c r="H247">
        <v>22</v>
      </c>
      <c r="I247">
        <v>414</v>
      </c>
      <c r="J247">
        <v>9108</v>
      </c>
    </row>
    <row r="248" spans="1:10">
      <c r="A248" t="s">
        <v>311</v>
      </c>
      <c r="B248" t="s">
        <v>73</v>
      </c>
      <c r="C248" t="s">
        <v>176</v>
      </c>
      <c r="D248" t="s">
        <v>103</v>
      </c>
      <c r="E248" t="s">
        <v>32</v>
      </c>
      <c r="F248" t="s">
        <v>42</v>
      </c>
      <c r="G248" t="s">
        <v>23</v>
      </c>
      <c r="H248">
        <v>7</v>
      </c>
      <c r="I248">
        <v>436</v>
      </c>
      <c r="J248">
        <v>3052</v>
      </c>
    </row>
    <row r="249" spans="1:10">
      <c r="A249" t="s">
        <v>302</v>
      </c>
      <c r="B249" t="s">
        <v>95</v>
      </c>
      <c r="C249" t="s">
        <v>19</v>
      </c>
      <c r="D249" t="s">
        <v>20</v>
      </c>
      <c r="E249" t="s">
        <v>21</v>
      </c>
      <c r="F249" t="s">
        <v>42</v>
      </c>
      <c r="G249" t="s">
        <v>23</v>
      </c>
      <c r="H249">
        <v>5</v>
      </c>
      <c r="I249">
        <v>429</v>
      </c>
      <c r="J249">
        <v>2145</v>
      </c>
    </row>
    <row r="250" spans="1:10">
      <c r="A250" t="s">
        <v>262</v>
      </c>
      <c r="B250" t="s">
        <v>73</v>
      </c>
      <c r="C250" t="s">
        <v>176</v>
      </c>
      <c r="D250" t="s">
        <v>103</v>
      </c>
      <c r="E250" t="s">
        <v>32</v>
      </c>
      <c r="F250" t="s">
        <v>42</v>
      </c>
      <c r="G250" t="s">
        <v>23</v>
      </c>
      <c r="H250">
        <v>8</v>
      </c>
      <c r="I250">
        <v>435</v>
      </c>
      <c r="J250">
        <v>3480</v>
      </c>
    </row>
    <row r="251" spans="1:10">
      <c r="A251" t="s">
        <v>254</v>
      </c>
      <c r="B251" t="s">
        <v>11</v>
      </c>
      <c r="C251" t="s">
        <v>185</v>
      </c>
      <c r="D251" t="s">
        <v>36</v>
      </c>
      <c r="E251" t="s">
        <v>50</v>
      </c>
      <c r="F251" t="s">
        <v>28</v>
      </c>
      <c r="G251" t="s">
        <v>23</v>
      </c>
      <c r="H251">
        <v>25</v>
      </c>
      <c r="I251">
        <v>274</v>
      </c>
      <c r="J251">
        <v>6850</v>
      </c>
    </row>
    <row r="252" spans="1:10">
      <c r="A252" t="s">
        <v>171</v>
      </c>
      <c r="B252" t="s">
        <v>44</v>
      </c>
      <c r="C252" t="s">
        <v>186</v>
      </c>
      <c r="D252" t="s">
        <v>36</v>
      </c>
      <c r="E252" t="s">
        <v>21</v>
      </c>
      <c r="F252" t="s">
        <v>58</v>
      </c>
      <c r="G252" t="s">
        <v>23</v>
      </c>
      <c r="H252">
        <v>7</v>
      </c>
      <c r="I252">
        <v>468</v>
      </c>
      <c r="J252">
        <v>3276</v>
      </c>
    </row>
    <row r="253" spans="1:10">
      <c r="A253" t="s">
        <v>259</v>
      </c>
      <c r="B253" t="s">
        <v>18</v>
      </c>
      <c r="C253" t="s">
        <v>134</v>
      </c>
      <c r="D253" t="s">
        <v>106</v>
      </c>
      <c r="E253" t="s">
        <v>41</v>
      </c>
      <c r="F253" t="s">
        <v>42</v>
      </c>
      <c r="G253" t="s">
        <v>23</v>
      </c>
      <c r="H253">
        <v>8</v>
      </c>
      <c r="I253">
        <v>422</v>
      </c>
      <c r="J253">
        <v>3376</v>
      </c>
    </row>
    <row r="254" spans="1:10">
      <c r="A254" t="s">
        <v>167</v>
      </c>
      <c r="B254" t="s">
        <v>139</v>
      </c>
      <c r="C254" t="s">
        <v>240</v>
      </c>
      <c r="D254" t="s">
        <v>239</v>
      </c>
      <c r="E254" t="s">
        <v>21</v>
      </c>
      <c r="F254" t="s">
        <v>15</v>
      </c>
      <c r="G254" t="s">
        <v>16</v>
      </c>
      <c r="H254">
        <v>10</v>
      </c>
      <c r="I254">
        <v>757</v>
      </c>
      <c r="J254">
        <v>7570</v>
      </c>
    </row>
    <row r="255" spans="1:10">
      <c r="A255" t="s">
        <v>312</v>
      </c>
      <c r="B255" t="s">
        <v>120</v>
      </c>
      <c r="C255" t="s">
        <v>278</v>
      </c>
      <c r="D255" t="s">
        <v>242</v>
      </c>
      <c r="E255" t="s">
        <v>32</v>
      </c>
      <c r="F255" t="s">
        <v>28</v>
      </c>
      <c r="G255" t="s">
        <v>23</v>
      </c>
      <c r="H255">
        <v>18</v>
      </c>
      <c r="I255">
        <v>300</v>
      </c>
      <c r="J255">
        <v>5400</v>
      </c>
    </row>
    <row r="256" spans="1:10">
      <c r="A256" t="s">
        <v>192</v>
      </c>
      <c r="B256" t="s">
        <v>52</v>
      </c>
      <c r="C256" t="s">
        <v>214</v>
      </c>
      <c r="D256" t="s">
        <v>77</v>
      </c>
      <c r="E256" t="s">
        <v>21</v>
      </c>
      <c r="F256" t="s">
        <v>28</v>
      </c>
      <c r="G256" t="s">
        <v>23</v>
      </c>
      <c r="H256">
        <v>3</v>
      </c>
      <c r="I256">
        <v>277</v>
      </c>
      <c r="J256">
        <v>831</v>
      </c>
    </row>
    <row r="257" spans="1:10">
      <c r="A257" t="s">
        <v>280</v>
      </c>
      <c r="B257" t="s">
        <v>108</v>
      </c>
      <c r="C257" t="s">
        <v>151</v>
      </c>
      <c r="D257" t="s">
        <v>152</v>
      </c>
      <c r="E257" t="s">
        <v>50</v>
      </c>
      <c r="F257" t="s">
        <v>42</v>
      </c>
      <c r="G257" t="s">
        <v>23</v>
      </c>
      <c r="H257">
        <v>6</v>
      </c>
      <c r="I257">
        <v>440</v>
      </c>
      <c r="J257">
        <v>2640</v>
      </c>
    </row>
    <row r="258" spans="1:10">
      <c r="A258" t="s">
        <v>132</v>
      </c>
      <c r="B258" t="s">
        <v>139</v>
      </c>
      <c r="C258" t="s">
        <v>140</v>
      </c>
      <c r="D258" t="s">
        <v>118</v>
      </c>
      <c r="E258" t="s">
        <v>50</v>
      </c>
      <c r="F258" t="s">
        <v>28</v>
      </c>
      <c r="G258" t="s">
        <v>23</v>
      </c>
      <c r="H258">
        <v>15</v>
      </c>
      <c r="I258">
        <v>292</v>
      </c>
      <c r="J258">
        <v>4380</v>
      </c>
    </row>
    <row r="259" spans="1:10">
      <c r="A259" t="s">
        <v>231</v>
      </c>
      <c r="B259" t="s">
        <v>73</v>
      </c>
      <c r="C259" t="s">
        <v>186</v>
      </c>
      <c r="D259" t="s">
        <v>36</v>
      </c>
      <c r="E259" t="s">
        <v>21</v>
      </c>
      <c r="F259" t="s">
        <v>22</v>
      </c>
      <c r="G259" t="s">
        <v>23</v>
      </c>
      <c r="H259">
        <v>2</v>
      </c>
      <c r="I259">
        <v>411</v>
      </c>
      <c r="J259">
        <v>822</v>
      </c>
    </row>
    <row r="260" spans="1:10">
      <c r="A260" t="s">
        <v>222</v>
      </c>
      <c r="B260" t="s">
        <v>44</v>
      </c>
      <c r="C260" t="s">
        <v>276</v>
      </c>
      <c r="D260" t="s">
        <v>164</v>
      </c>
      <c r="E260" t="s">
        <v>32</v>
      </c>
      <c r="F260" t="s">
        <v>58</v>
      </c>
      <c r="G260" t="s">
        <v>23</v>
      </c>
      <c r="H260">
        <v>9</v>
      </c>
      <c r="I260">
        <v>477</v>
      </c>
      <c r="J260">
        <v>4293</v>
      </c>
    </row>
    <row r="261" spans="1:10">
      <c r="A261" t="s">
        <v>236</v>
      </c>
      <c r="B261" t="s">
        <v>30</v>
      </c>
      <c r="C261" t="s">
        <v>186</v>
      </c>
      <c r="D261" t="s">
        <v>36</v>
      </c>
      <c r="E261" t="s">
        <v>21</v>
      </c>
      <c r="F261" t="s">
        <v>33</v>
      </c>
      <c r="G261" t="s">
        <v>23</v>
      </c>
      <c r="H261">
        <v>13</v>
      </c>
      <c r="I261">
        <v>385</v>
      </c>
      <c r="J261">
        <v>5005</v>
      </c>
    </row>
    <row r="262" spans="1:10">
      <c r="A262" t="s">
        <v>184</v>
      </c>
      <c r="B262" t="s">
        <v>18</v>
      </c>
      <c r="C262" t="s">
        <v>217</v>
      </c>
      <c r="D262" t="s">
        <v>93</v>
      </c>
      <c r="E262" t="s">
        <v>14</v>
      </c>
      <c r="F262" t="s">
        <v>33</v>
      </c>
      <c r="G262" t="s">
        <v>23</v>
      </c>
      <c r="H262">
        <v>9</v>
      </c>
      <c r="I262">
        <v>384</v>
      </c>
      <c r="J262">
        <v>3456</v>
      </c>
    </row>
    <row r="263" spans="1:10">
      <c r="A263" t="s">
        <v>167</v>
      </c>
      <c r="B263" t="s">
        <v>88</v>
      </c>
      <c r="C263" t="s">
        <v>82</v>
      </c>
      <c r="D263" t="s">
        <v>83</v>
      </c>
      <c r="E263" t="s">
        <v>41</v>
      </c>
      <c r="F263" t="s">
        <v>42</v>
      </c>
      <c r="G263" t="s">
        <v>23</v>
      </c>
      <c r="H263">
        <v>17</v>
      </c>
      <c r="I263">
        <v>436</v>
      </c>
      <c r="J263">
        <v>7412</v>
      </c>
    </row>
    <row r="264" spans="1:10">
      <c r="A264" t="s">
        <v>313</v>
      </c>
      <c r="B264" t="s">
        <v>73</v>
      </c>
      <c r="C264" t="s">
        <v>210</v>
      </c>
      <c r="D264" t="s">
        <v>131</v>
      </c>
      <c r="E264" t="s">
        <v>32</v>
      </c>
      <c r="F264" t="s">
        <v>33</v>
      </c>
      <c r="G264" t="s">
        <v>23</v>
      </c>
      <c r="H264">
        <v>8</v>
      </c>
      <c r="I264">
        <v>380</v>
      </c>
      <c r="J264">
        <v>3040</v>
      </c>
    </row>
    <row r="265" spans="1:10">
      <c r="A265" t="s">
        <v>314</v>
      </c>
      <c r="B265" t="s">
        <v>30</v>
      </c>
      <c r="C265" t="s">
        <v>273</v>
      </c>
      <c r="D265" t="s">
        <v>71</v>
      </c>
      <c r="E265" t="s">
        <v>41</v>
      </c>
      <c r="F265" t="s">
        <v>15</v>
      </c>
      <c r="G265" t="s">
        <v>16</v>
      </c>
      <c r="H265">
        <v>20</v>
      </c>
      <c r="I265">
        <v>737</v>
      </c>
      <c r="J265">
        <v>14740</v>
      </c>
    </row>
    <row r="266" spans="1:10">
      <c r="A266" t="s">
        <v>257</v>
      </c>
      <c r="B266" t="s">
        <v>38</v>
      </c>
      <c r="C266" t="s">
        <v>140</v>
      </c>
      <c r="D266" t="s">
        <v>118</v>
      </c>
      <c r="E266" t="s">
        <v>50</v>
      </c>
      <c r="F266" t="s">
        <v>15</v>
      </c>
      <c r="G266" t="s">
        <v>16</v>
      </c>
      <c r="H266">
        <v>10</v>
      </c>
      <c r="I266">
        <v>755</v>
      </c>
      <c r="J266">
        <v>7550</v>
      </c>
    </row>
    <row r="267" spans="1:10">
      <c r="A267" t="s">
        <v>222</v>
      </c>
      <c r="B267" t="s">
        <v>44</v>
      </c>
      <c r="C267" t="s">
        <v>299</v>
      </c>
      <c r="D267" t="s">
        <v>300</v>
      </c>
      <c r="E267" t="s">
        <v>50</v>
      </c>
      <c r="F267" t="s">
        <v>15</v>
      </c>
      <c r="G267" t="s">
        <v>16</v>
      </c>
      <c r="H267">
        <v>1</v>
      </c>
      <c r="I267">
        <v>742</v>
      </c>
      <c r="J267">
        <v>742</v>
      </c>
    </row>
    <row r="268" spans="1:10">
      <c r="A268" t="s">
        <v>256</v>
      </c>
      <c r="B268" t="s">
        <v>38</v>
      </c>
      <c r="C268" t="s">
        <v>200</v>
      </c>
      <c r="D268" t="s">
        <v>100</v>
      </c>
      <c r="E268" t="s">
        <v>21</v>
      </c>
      <c r="F268" t="s">
        <v>42</v>
      </c>
      <c r="G268" t="s">
        <v>23</v>
      </c>
      <c r="H268">
        <v>11</v>
      </c>
      <c r="I268">
        <v>426</v>
      </c>
      <c r="J268">
        <v>4686</v>
      </c>
    </row>
    <row r="269" spans="1:10">
      <c r="A269" t="s">
        <v>218</v>
      </c>
      <c r="B269" t="s">
        <v>110</v>
      </c>
      <c r="C269" t="s">
        <v>220</v>
      </c>
      <c r="D269" t="s">
        <v>221</v>
      </c>
      <c r="E269" t="s">
        <v>21</v>
      </c>
      <c r="F269" t="s">
        <v>58</v>
      </c>
      <c r="G269" t="s">
        <v>23</v>
      </c>
      <c r="H269">
        <v>16</v>
      </c>
      <c r="I269">
        <v>459</v>
      </c>
      <c r="J269">
        <v>7344</v>
      </c>
    </row>
    <row r="270" spans="1:10">
      <c r="A270" t="s">
        <v>250</v>
      </c>
      <c r="B270" t="s">
        <v>30</v>
      </c>
      <c r="C270" t="s">
        <v>282</v>
      </c>
      <c r="D270" t="s">
        <v>131</v>
      </c>
      <c r="E270" t="s">
        <v>41</v>
      </c>
      <c r="F270" t="s">
        <v>15</v>
      </c>
      <c r="G270" t="s">
        <v>16</v>
      </c>
      <c r="H270">
        <v>11</v>
      </c>
      <c r="I270">
        <v>750</v>
      </c>
      <c r="J270">
        <v>8250</v>
      </c>
    </row>
    <row r="271" spans="1:10">
      <c r="A271" t="s">
        <v>43</v>
      </c>
      <c r="B271" t="s">
        <v>44</v>
      </c>
      <c r="C271" t="s">
        <v>45</v>
      </c>
      <c r="D271" t="s">
        <v>46</v>
      </c>
      <c r="E271" t="s">
        <v>14</v>
      </c>
      <c r="F271" t="s">
        <v>22</v>
      </c>
      <c r="G271" t="s">
        <v>23</v>
      </c>
      <c r="H271">
        <v>23</v>
      </c>
      <c r="I271">
        <v>408</v>
      </c>
      <c r="J271">
        <v>9384</v>
      </c>
    </row>
    <row r="272" spans="1:10">
      <c r="A272" t="s">
        <v>268</v>
      </c>
      <c r="B272" t="s">
        <v>88</v>
      </c>
      <c r="C272" t="s">
        <v>102</v>
      </c>
      <c r="D272" t="s">
        <v>103</v>
      </c>
      <c r="E272" t="s">
        <v>14</v>
      </c>
      <c r="F272" t="s">
        <v>42</v>
      </c>
      <c r="G272" t="s">
        <v>23</v>
      </c>
      <c r="H272">
        <v>24</v>
      </c>
      <c r="I272">
        <v>413</v>
      </c>
      <c r="J272">
        <v>9912</v>
      </c>
    </row>
    <row r="273" spans="1:10">
      <c r="A273" t="s">
        <v>177</v>
      </c>
      <c r="B273" t="s">
        <v>30</v>
      </c>
      <c r="C273" t="s">
        <v>276</v>
      </c>
      <c r="D273" t="s">
        <v>164</v>
      </c>
      <c r="E273" t="s">
        <v>32</v>
      </c>
      <c r="F273" t="s">
        <v>33</v>
      </c>
      <c r="G273" t="s">
        <v>23</v>
      </c>
      <c r="H273">
        <v>4</v>
      </c>
      <c r="I273">
        <v>386</v>
      </c>
      <c r="J273">
        <v>1544</v>
      </c>
    </row>
    <row r="274" spans="1:10">
      <c r="A274" t="s">
        <v>116</v>
      </c>
      <c r="B274" t="s">
        <v>25</v>
      </c>
      <c r="C274" t="s">
        <v>241</v>
      </c>
      <c r="D274" t="s">
        <v>242</v>
      </c>
      <c r="E274" t="s">
        <v>14</v>
      </c>
      <c r="F274" t="s">
        <v>28</v>
      </c>
      <c r="G274" t="s">
        <v>23</v>
      </c>
      <c r="H274">
        <v>14</v>
      </c>
      <c r="I274">
        <v>291</v>
      </c>
      <c r="J274">
        <v>4074</v>
      </c>
    </row>
    <row r="275" spans="1:10">
      <c r="A275" t="s">
        <v>269</v>
      </c>
      <c r="B275" t="s">
        <v>38</v>
      </c>
      <c r="C275" t="s">
        <v>140</v>
      </c>
      <c r="D275" t="s">
        <v>118</v>
      </c>
      <c r="E275" t="s">
        <v>50</v>
      </c>
      <c r="F275" t="s">
        <v>58</v>
      </c>
      <c r="G275" t="s">
        <v>23</v>
      </c>
      <c r="H275">
        <v>13</v>
      </c>
      <c r="I275">
        <v>466</v>
      </c>
      <c r="J275">
        <v>6058</v>
      </c>
    </row>
    <row r="276" spans="1:10">
      <c r="A276" t="s">
        <v>201</v>
      </c>
      <c r="B276" t="s">
        <v>120</v>
      </c>
      <c r="C276" t="s">
        <v>315</v>
      </c>
      <c r="D276" t="s">
        <v>63</v>
      </c>
      <c r="E276" t="s">
        <v>14</v>
      </c>
      <c r="F276" t="s">
        <v>42</v>
      </c>
      <c r="G276" t="s">
        <v>23</v>
      </c>
      <c r="H276">
        <v>10</v>
      </c>
      <c r="I276">
        <v>420</v>
      </c>
      <c r="J276">
        <v>4200</v>
      </c>
    </row>
    <row r="277" spans="1:10">
      <c r="A277" t="s">
        <v>180</v>
      </c>
      <c r="B277" t="s">
        <v>88</v>
      </c>
      <c r="C277" t="s">
        <v>316</v>
      </c>
      <c r="D277" t="s">
        <v>112</v>
      </c>
      <c r="E277" t="s">
        <v>14</v>
      </c>
      <c r="F277" t="s">
        <v>22</v>
      </c>
      <c r="G277" t="s">
        <v>23</v>
      </c>
      <c r="H277">
        <v>16</v>
      </c>
      <c r="I277">
        <v>399</v>
      </c>
      <c r="J277">
        <v>6384</v>
      </c>
    </row>
    <row r="278" spans="1:10">
      <c r="A278" t="s">
        <v>229</v>
      </c>
      <c r="B278" t="s">
        <v>139</v>
      </c>
      <c r="C278" t="s">
        <v>249</v>
      </c>
      <c r="D278" t="s">
        <v>106</v>
      </c>
      <c r="E278" t="s">
        <v>41</v>
      </c>
      <c r="F278" t="s">
        <v>33</v>
      </c>
      <c r="G278" t="s">
        <v>23</v>
      </c>
      <c r="H278">
        <v>11</v>
      </c>
      <c r="I278">
        <v>403</v>
      </c>
      <c r="J278">
        <v>4433</v>
      </c>
    </row>
    <row r="279" spans="1:10">
      <c r="A279" t="s">
        <v>317</v>
      </c>
      <c r="B279" t="s">
        <v>44</v>
      </c>
      <c r="C279" t="s">
        <v>276</v>
      </c>
      <c r="D279" t="s">
        <v>164</v>
      </c>
      <c r="E279" t="s">
        <v>32</v>
      </c>
      <c r="F279" t="s">
        <v>22</v>
      </c>
      <c r="G279" t="s">
        <v>23</v>
      </c>
      <c r="H279">
        <v>21</v>
      </c>
      <c r="I279">
        <v>398</v>
      </c>
      <c r="J279">
        <v>8358</v>
      </c>
    </row>
    <row r="280" spans="1:10">
      <c r="A280" t="s">
        <v>203</v>
      </c>
      <c r="B280" t="s">
        <v>38</v>
      </c>
      <c r="C280" t="s">
        <v>253</v>
      </c>
      <c r="D280" t="s">
        <v>239</v>
      </c>
      <c r="E280" t="s">
        <v>21</v>
      </c>
      <c r="F280" t="s">
        <v>42</v>
      </c>
      <c r="G280" t="s">
        <v>23</v>
      </c>
      <c r="H280">
        <v>6</v>
      </c>
      <c r="I280">
        <v>439</v>
      </c>
      <c r="J280">
        <v>2634</v>
      </c>
    </row>
    <row r="281" spans="1:10">
      <c r="A281" t="s">
        <v>318</v>
      </c>
      <c r="B281" t="s">
        <v>120</v>
      </c>
      <c r="C281" t="s">
        <v>149</v>
      </c>
      <c r="D281" t="s">
        <v>115</v>
      </c>
      <c r="E281" t="s">
        <v>50</v>
      </c>
      <c r="F281" t="s">
        <v>33</v>
      </c>
      <c r="G281" t="s">
        <v>23</v>
      </c>
      <c r="H281">
        <v>17</v>
      </c>
      <c r="I281">
        <v>408</v>
      </c>
      <c r="J281">
        <v>6936</v>
      </c>
    </row>
    <row r="282" spans="1:10">
      <c r="A282" t="s">
        <v>72</v>
      </c>
      <c r="B282" t="s">
        <v>95</v>
      </c>
      <c r="C282" t="s">
        <v>251</v>
      </c>
      <c r="D282" t="s">
        <v>137</v>
      </c>
      <c r="E282" t="s">
        <v>50</v>
      </c>
      <c r="F282" t="s">
        <v>22</v>
      </c>
      <c r="G282" t="s">
        <v>23</v>
      </c>
      <c r="H282">
        <v>23</v>
      </c>
      <c r="I282">
        <v>395</v>
      </c>
      <c r="J282">
        <v>9085</v>
      </c>
    </row>
    <row r="283" spans="1:10">
      <c r="A283" t="s">
        <v>203</v>
      </c>
      <c r="B283" t="s">
        <v>11</v>
      </c>
      <c r="C283" t="s">
        <v>185</v>
      </c>
      <c r="D283" t="s">
        <v>36</v>
      </c>
      <c r="E283" t="s">
        <v>50</v>
      </c>
      <c r="F283" t="s">
        <v>33</v>
      </c>
      <c r="G283" t="s">
        <v>23</v>
      </c>
      <c r="H283">
        <v>2</v>
      </c>
      <c r="I283">
        <v>401</v>
      </c>
      <c r="J283">
        <v>802</v>
      </c>
    </row>
    <row r="284" spans="1:10">
      <c r="A284" t="s">
        <v>319</v>
      </c>
      <c r="B284" t="s">
        <v>120</v>
      </c>
      <c r="C284" t="s">
        <v>258</v>
      </c>
      <c r="D284" t="s">
        <v>100</v>
      </c>
      <c r="E284" t="s">
        <v>41</v>
      </c>
      <c r="F284" t="s">
        <v>28</v>
      </c>
      <c r="G284" t="s">
        <v>23</v>
      </c>
      <c r="H284">
        <v>15</v>
      </c>
      <c r="I284">
        <v>300</v>
      </c>
      <c r="J284">
        <v>4500</v>
      </c>
    </row>
    <row r="285" spans="1:10">
      <c r="A285" t="s">
        <v>320</v>
      </c>
      <c r="B285" t="s">
        <v>110</v>
      </c>
      <c r="C285" t="s">
        <v>294</v>
      </c>
      <c r="D285" t="s">
        <v>71</v>
      </c>
      <c r="E285" t="s">
        <v>14</v>
      </c>
      <c r="F285" t="s">
        <v>22</v>
      </c>
      <c r="G285" t="s">
        <v>23</v>
      </c>
      <c r="H285">
        <v>24</v>
      </c>
      <c r="I285">
        <v>411</v>
      </c>
      <c r="J285">
        <v>9864</v>
      </c>
    </row>
    <row r="286" spans="1:10">
      <c r="A286" t="s">
        <v>311</v>
      </c>
      <c r="B286" t="s">
        <v>25</v>
      </c>
      <c r="C286" t="s">
        <v>142</v>
      </c>
      <c r="D286" t="s">
        <v>137</v>
      </c>
      <c r="E286" t="s">
        <v>41</v>
      </c>
      <c r="F286" t="s">
        <v>42</v>
      </c>
      <c r="G286" t="s">
        <v>23</v>
      </c>
      <c r="H286">
        <v>21</v>
      </c>
      <c r="I286">
        <v>414</v>
      </c>
      <c r="J286">
        <v>8694</v>
      </c>
    </row>
    <row r="287" spans="1:10">
      <c r="A287" t="s">
        <v>158</v>
      </c>
      <c r="B287" t="s">
        <v>11</v>
      </c>
      <c r="C287" t="s">
        <v>188</v>
      </c>
      <c r="D287" t="s">
        <v>152</v>
      </c>
      <c r="E287" t="s">
        <v>21</v>
      </c>
      <c r="F287" t="s">
        <v>22</v>
      </c>
      <c r="G287" t="s">
        <v>23</v>
      </c>
      <c r="H287">
        <v>14</v>
      </c>
      <c r="I287">
        <v>395</v>
      </c>
      <c r="J287">
        <v>5530</v>
      </c>
    </row>
    <row r="288" spans="1:10">
      <c r="A288" t="s">
        <v>321</v>
      </c>
      <c r="B288" t="s">
        <v>108</v>
      </c>
      <c r="C288" t="s">
        <v>322</v>
      </c>
      <c r="D288" t="s">
        <v>300</v>
      </c>
      <c r="E288" t="s">
        <v>21</v>
      </c>
      <c r="F288" t="s">
        <v>28</v>
      </c>
      <c r="G288" t="s">
        <v>23</v>
      </c>
      <c r="H288">
        <v>19</v>
      </c>
      <c r="I288">
        <v>275</v>
      </c>
      <c r="J288">
        <v>5225</v>
      </c>
    </row>
    <row r="289" spans="1:10">
      <c r="A289" t="s">
        <v>314</v>
      </c>
      <c r="B289" t="s">
        <v>25</v>
      </c>
      <c r="C289" t="s">
        <v>26</v>
      </c>
      <c r="D289" t="s">
        <v>27</v>
      </c>
      <c r="E289" t="s">
        <v>14</v>
      </c>
      <c r="F289" t="s">
        <v>28</v>
      </c>
      <c r="G289" t="s">
        <v>23</v>
      </c>
      <c r="H289">
        <v>3</v>
      </c>
      <c r="I289">
        <v>290</v>
      </c>
      <c r="J289">
        <v>870</v>
      </c>
    </row>
    <row r="290" spans="1:10">
      <c r="A290" t="s">
        <v>133</v>
      </c>
      <c r="B290" t="s">
        <v>52</v>
      </c>
      <c r="C290" t="s">
        <v>169</v>
      </c>
      <c r="D290" t="s">
        <v>71</v>
      </c>
      <c r="E290" t="s">
        <v>32</v>
      </c>
      <c r="F290" t="s">
        <v>42</v>
      </c>
      <c r="G290" t="s">
        <v>23</v>
      </c>
      <c r="H290">
        <v>25</v>
      </c>
      <c r="I290">
        <v>438</v>
      </c>
      <c r="J290">
        <v>10950</v>
      </c>
    </row>
    <row r="291" spans="1:10">
      <c r="A291" t="s">
        <v>283</v>
      </c>
      <c r="B291" t="s">
        <v>11</v>
      </c>
      <c r="C291" t="s">
        <v>284</v>
      </c>
      <c r="D291" t="s">
        <v>66</v>
      </c>
      <c r="E291" t="s">
        <v>14</v>
      </c>
      <c r="F291" t="s">
        <v>28</v>
      </c>
      <c r="G291" t="s">
        <v>23</v>
      </c>
      <c r="H291">
        <v>3</v>
      </c>
      <c r="I291">
        <v>286</v>
      </c>
      <c r="J291">
        <v>858</v>
      </c>
    </row>
    <row r="292" spans="1:10">
      <c r="A292" t="s">
        <v>199</v>
      </c>
      <c r="B292" t="s">
        <v>120</v>
      </c>
      <c r="C292" t="s">
        <v>278</v>
      </c>
      <c r="D292" t="s">
        <v>242</v>
      </c>
      <c r="E292" t="s">
        <v>32</v>
      </c>
      <c r="F292" t="s">
        <v>28</v>
      </c>
      <c r="G292" t="s">
        <v>23</v>
      </c>
      <c r="H292">
        <v>6</v>
      </c>
      <c r="I292">
        <v>292</v>
      </c>
      <c r="J292">
        <v>1752</v>
      </c>
    </row>
    <row r="293" spans="1:10">
      <c r="A293" t="s">
        <v>182</v>
      </c>
      <c r="B293" t="s">
        <v>120</v>
      </c>
      <c r="C293" t="s">
        <v>149</v>
      </c>
      <c r="D293" t="s">
        <v>115</v>
      </c>
      <c r="E293" t="s">
        <v>50</v>
      </c>
      <c r="F293" t="s">
        <v>28</v>
      </c>
      <c r="G293" t="s">
        <v>23</v>
      </c>
      <c r="H293">
        <v>12</v>
      </c>
      <c r="I293">
        <v>287</v>
      </c>
      <c r="J293">
        <v>3444</v>
      </c>
    </row>
    <row r="294" spans="1:10">
      <c r="A294" t="s">
        <v>269</v>
      </c>
      <c r="B294" t="s">
        <v>139</v>
      </c>
      <c r="C294" t="s">
        <v>255</v>
      </c>
      <c r="D294" t="s">
        <v>27</v>
      </c>
      <c r="E294" t="s">
        <v>41</v>
      </c>
      <c r="F294" t="s">
        <v>58</v>
      </c>
      <c r="G294" t="s">
        <v>23</v>
      </c>
      <c r="H294">
        <v>13</v>
      </c>
      <c r="I294">
        <v>451</v>
      </c>
      <c r="J294">
        <v>5863</v>
      </c>
    </row>
    <row r="295" spans="1:10">
      <c r="A295" t="s">
        <v>94</v>
      </c>
      <c r="B295" t="s">
        <v>44</v>
      </c>
      <c r="C295" t="s">
        <v>276</v>
      </c>
      <c r="D295" t="s">
        <v>164</v>
      </c>
      <c r="E295" t="s">
        <v>32</v>
      </c>
      <c r="F295" t="s">
        <v>33</v>
      </c>
      <c r="G295" t="s">
        <v>23</v>
      </c>
      <c r="H295">
        <v>4</v>
      </c>
      <c r="I295">
        <v>397</v>
      </c>
      <c r="J295">
        <v>1588</v>
      </c>
    </row>
    <row r="296" spans="1:10">
      <c r="A296" t="s">
        <v>250</v>
      </c>
      <c r="B296" t="s">
        <v>110</v>
      </c>
      <c r="C296" t="s">
        <v>271</v>
      </c>
      <c r="D296" t="s">
        <v>103</v>
      </c>
      <c r="E296" t="s">
        <v>41</v>
      </c>
      <c r="F296" t="s">
        <v>33</v>
      </c>
      <c r="G296" t="s">
        <v>23</v>
      </c>
      <c r="H296">
        <v>7</v>
      </c>
      <c r="I296">
        <v>402</v>
      </c>
      <c r="J296">
        <v>2814</v>
      </c>
    </row>
    <row r="297" spans="1:10">
      <c r="A297" t="s">
        <v>323</v>
      </c>
      <c r="B297" t="s">
        <v>38</v>
      </c>
      <c r="C297" t="s">
        <v>114</v>
      </c>
      <c r="D297" t="s">
        <v>115</v>
      </c>
      <c r="E297" t="s">
        <v>41</v>
      </c>
      <c r="F297" t="s">
        <v>33</v>
      </c>
      <c r="G297" t="s">
        <v>23</v>
      </c>
      <c r="H297">
        <v>14</v>
      </c>
      <c r="I297">
        <v>399</v>
      </c>
      <c r="J297">
        <v>5586</v>
      </c>
    </row>
    <row r="298" spans="1:10">
      <c r="A298" t="s">
        <v>324</v>
      </c>
      <c r="B298" t="s">
        <v>44</v>
      </c>
      <c r="C298" t="s">
        <v>174</v>
      </c>
      <c r="D298" t="s">
        <v>46</v>
      </c>
      <c r="E298" t="s">
        <v>21</v>
      </c>
      <c r="F298" t="s">
        <v>28</v>
      </c>
      <c r="G298" t="s">
        <v>23</v>
      </c>
      <c r="H298">
        <v>1</v>
      </c>
      <c r="I298">
        <v>288</v>
      </c>
      <c r="J298">
        <v>288</v>
      </c>
    </row>
    <row r="299" spans="1:10">
      <c r="A299" t="s">
        <v>119</v>
      </c>
      <c r="B299" t="s">
        <v>18</v>
      </c>
      <c r="C299" t="s">
        <v>19</v>
      </c>
      <c r="D299" t="s">
        <v>20</v>
      </c>
      <c r="E299" t="s">
        <v>21</v>
      </c>
      <c r="F299" t="s">
        <v>28</v>
      </c>
      <c r="G299" t="s">
        <v>23</v>
      </c>
      <c r="H299">
        <v>11</v>
      </c>
      <c r="I299">
        <v>288</v>
      </c>
      <c r="J299">
        <v>3168</v>
      </c>
    </row>
    <row r="300" spans="1:10">
      <c r="A300" t="s">
        <v>325</v>
      </c>
      <c r="B300" t="s">
        <v>120</v>
      </c>
      <c r="C300" t="s">
        <v>125</v>
      </c>
      <c r="D300" t="s">
        <v>112</v>
      </c>
      <c r="E300" t="s">
        <v>32</v>
      </c>
      <c r="F300" t="s">
        <v>22</v>
      </c>
      <c r="G300" t="s">
        <v>23</v>
      </c>
      <c r="H300">
        <v>13</v>
      </c>
      <c r="I300">
        <v>406</v>
      </c>
      <c r="J300">
        <v>5278</v>
      </c>
    </row>
    <row r="301" spans="1:10">
      <c r="A301" t="s">
        <v>318</v>
      </c>
      <c r="B301" t="s">
        <v>52</v>
      </c>
      <c r="C301" t="s">
        <v>142</v>
      </c>
      <c r="D301" t="s">
        <v>137</v>
      </c>
      <c r="E301" t="s">
        <v>41</v>
      </c>
      <c r="F301" t="s">
        <v>33</v>
      </c>
      <c r="G301" t="s">
        <v>23</v>
      </c>
      <c r="H301">
        <v>1</v>
      </c>
      <c r="I301">
        <v>380</v>
      </c>
      <c r="J301">
        <v>380</v>
      </c>
    </row>
    <row r="302" spans="1:10">
      <c r="A302" t="s">
        <v>184</v>
      </c>
      <c r="B302" t="s">
        <v>11</v>
      </c>
      <c r="C302" t="s">
        <v>125</v>
      </c>
      <c r="D302" t="s">
        <v>112</v>
      </c>
      <c r="E302" t="s">
        <v>32</v>
      </c>
      <c r="F302" t="s">
        <v>58</v>
      </c>
      <c r="G302" t="s">
        <v>23</v>
      </c>
      <c r="H302">
        <v>5</v>
      </c>
      <c r="I302">
        <v>472</v>
      </c>
      <c r="J302">
        <v>2360</v>
      </c>
    </row>
    <row r="303" spans="1:10">
      <c r="A303" t="s">
        <v>326</v>
      </c>
      <c r="B303" t="s">
        <v>18</v>
      </c>
      <c r="C303" t="s">
        <v>234</v>
      </c>
      <c r="D303" t="s">
        <v>235</v>
      </c>
      <c r="E303" t="s">
        <v>50</v>
      </c>
      <c r="F303" t="s">
        <v>33</v>
      </c>
      <c r="G303" t="s">
        <v>23</v>
      </c>
      <c r="H303">
        <v>23</v>
      </c>
      <c r="I303">
        <v>405</v>
      </c>
      <c r="J303">
        <v>9315</v>
      </c>
    </row>
    <row r="304" spans="1:10">
      <c r="A304" t="s">
        <v>236</v>
      </c>
      <c r="B304" t="s">
        <v>139</v>
      </c>
      <c r="C304" t="s">
        <v>39</v>
      </c>
      <c r="D304" t="s">
        <v>40</v>
      </c>
      <c r="E304" t="s">
        <v>41</v>
      </c>
      <c r="F304" t="s">
        <v>22</v>
      </c>
      <c r="G304" t="s">
        <v>23</v>
      </c>
      <c r="H304">
        <v>1</v>
      </c>
      <c r="I304">
        <v>414</v>
      </c>
      <c r="J304">
        <v>414</v>
      </c>
    </row>
    <row r="305" spans="1:10">
      <c r="A305" t="s">
        <v>183</v>
      </c>
      <c r="B305" t="s">
        <v>11</v>
      </c>
      <c r="C305" t="s">
        <v>327</v>
      </c>
      <c r="D305" t="s">
        <v>36</v>
      </c>
      <c r="E305" t="s">
        <v>21</v>
      </c>
      <c r="F305" t="s">
        <v>15</v>
      </c>
      <c r="G305" t="s">
        <v>16</v>
      </c>
      <c r="H305">
        <v>1</v>
      </c>
      <c r="I305">
        <v>757</v>
      </c>
      <c r="J305">
        <v>757</v>
      </c>
    </row>
    <row r="306" spans="1:10">
      <c r="A306" t="s">
        <v>158</v>
      </c>
      <c r="B306" t="s">
        <v>11</v>
      </c>
      <c r="C306" t="s">
        <v>284</v>
      </c>
      <c r="D306" t="s">
        <v>66</v>
      </c>
      <c r="E306" t="s">
        <v>14</v>
      </c>
      <c r="F306" t="s">
        <v>58</v>
      </c>
      <c r="G306" t="s">
        <v>23</v>
      </c>
      <c r="H306">
        <v>12</v>
      </c>
      <c r="I306">
        <v>459</v>
      </c>
      <c r="J306">
        <v>5508</v>
      </c>
    </row>
    <row r="307" spans="1:10">
      <c r="A307" t="s">
        <v>328</v>
      </c>
      <c r="B307" t="s">
        <v>52</v>
      </c>
      <c r="C307" t="s">
        <v>168</v>
      </c>
      <c r="D307" t="s">
        <v>115</v>
      </c>
      <c r="E307" t="s">
        <v>41</v>
      </c>
      <c r="F307" t="s">
        <v>33</v>
      </c>
      <c r="G307" t="s">
        <v>23</v>
      </c>
      <c r="H307">
        <v>25</v>
      </c>
      <c r="I307">
        <v>389</v>
      </c>
      <c r="J307">
        <v>9725</v>
      </c>
    </row>
    <row r="308" spans="1:10">
      <c r="A308" t="s">
        <v>91</v>
      </c>
      <c r="B308" t="s">
        <v>139</v>
      </c>
      <c r="C308" t="s">
        <v>255</v>
      </c>
      <c r="D308" t="s">
        <v>27</v>
      </c>
      <c r="E308" t="s">
        <v>41</v>
      </c>
      <c r="F308" t="s">
        <v>58</v>
      </c>
      <c r="G308" t="s">
        <v>23</v>
      </c>
      <c r="H308">
        <v>16</v>
      </c>
      <c r="I308">
        <v>454</v>
      </c>
      <c r="J308">
        <v>7264</v>
      </c>
    </row>
    <row r="309" spans="1:10">
      <c r="A309" t="s">
        <v>119</v>
      </c>
      <c r="B309" t="s">
        <v>88</v>
      </c>
      <c r="C309" t="s">
        <v>301</v>
      </c>
      <c r="D309" t="s">
        <v>103</v>
      </c>
      <c r="E309" t="s">
        <v>14</v>
      </c>
      <c r="F309" t="s">
        <v>28</v>
      </c>
      <c r="G309" t="s">
        <v>23</v>
      </c>
      <c r="H309">
        <v>23</v>
      </c>
      <c r="I309">
        <v>274</v>
      </c>
      <c r="J309">
        <v>6302</v>
      </c>
    </row>
    <row r="310" spans="1:10">
      <c r="A310" t="s">
        <v>55</v>
      </c>
      <c r="B310" t="s">
        <v>18</v>
      </c>
      <c r="C310" t="s">
        <v>117</v>
      </c>
      <c r="D310" t="s">
        <v>118</v>
      </c>
      <c r="E310" t="s">
        <v>21</v>
      </c>
      <c r="F310" t="s">
        <v>42</v>
      </c>
      <c r="G310" t="s">
        <v>23</v>
      </c>
      <c r="H310">
        <v>14</v>
      </c>
      <c r="I310">
        <v>422</v>
      </c>
      <c r="J310">
        <v>5908</v>
      </c>
    </row>
    <row r="311" spans="1:10">
      <c r="A311" t="s">
        <v>116</v>
      </c>
      <c r="B311" t="s">
        <v>88</v>
      </c>
      <c r="C311" t="s">
        <v>241</v>
      </c>
      <c r="D311" t="s">
        <v>242</v>
      </c>
      <c r="E311" t="s">
        <v>14</v>
      </c>
      <c r="F311" t="s">
        <v>15</v>
      </c>
      <c r="G311" t="s">
        <v>16</v>
      </c>
      <c r="H311">
        <v>5</v>
      </c>
      <c r="I311">
        <v>735</v>
      </c>
      <c r="J311">
        <v>3675</v>
      </c>
    </row>
    <row r="312" spans="1:10">
      <c r="A312" t="s">
        <v>199</v>
      </c>
      <c r="B312" t="s">
        <v>52</v>
      </c>
      <c r="C312" t="s">
        <v>169</v>
      </c>
      <c r="D312" t="s">
        <v>71</v>
      </c>
      <c r="E312" t="s">
        <v>32</v>
      </c>
      <c r="F312" t="s">
        <v>33</v>
      </c>
      <c r="G312" t="s">
        <v>23</v>
      </c>
      <c r="H312">
        <v>14</v>
      </c>
      <c r="I312">
        <v>392</v>
      </c>
      <c r="J312">
        <v>5488</v>
      </c>
    </row>
    <row r="313" spans="1:10">
      <c r="A313" t="s">
        <v>305</v>
      </c>
      <c r="B313" t="s">
        <v>120</v>
      </c>
      <c r="C313" t="s">
        <v>56</v>
      </c>
      <c r="D313" t="s">
        <v>57</v>
      </c>
      <c r="E313" t="s">
        <v>32</v>
      </c>
      <c r="F313" t="s">
        <v>42</v>
      </c>
      <c r="G313" t="s">
        <v>23</v>
      </c>
      <c r="H313">
        <v>3</v>
      </c>
      <c r="I313">
        <v>436</v>
      </c>
      <c r="J313">
        <v>1308</v>
      </c>
    </row>
    <row r="314" spans="1:10">
      <c r="A314" t="s">
        <v>109</v>
      </c>
      <c r="B314" t="s">
        <v>88</v>
      </c>
      <c r="C314" t="s">
        <v>316</v>
      </c>
      <c r="D314" t="s">
        <v>112</v>
      </c>
      <c r="E314" t="s">
        <v>14</v>
      </c>
      <c r="F314" t="s">
        <v>22</v>
      </c>
      <c r="G314" t="s">
        <v>23</v>
      </c>
      <c r="H314">
        <v>25</v>
      </c>
      <c r="I314">
        <v>400</v>
      </c>
      <c r="J314">
        <v>10000</v>
      </c>
    </row>
    <row r="315" spans="1:10">
      <c r="A315" t="s">
        <v>312</v>
      </c>
      <c r="B315" t="s">
        <v>11</v>
      </c>
      <c r="C315" t="s">
        <v>327</v>
      </c>
      <c r="D315" t="s">
        <v>36</v>
      </c>
      <c r="E315" t="s">
        <v>21</v>
      </c>
      <c r="F315" t="s">
        <v>28</v>
      </c>
      <c r="G315" t="s">
        <v>23</v>
      </c>
      <c r="H315">
        <v>10</v>
      </c>
      <c r="I315">
        <v>292</v>
      </c>
      <c r="J315">
        <v>2920</v>
      </c>
    </row>
    <row r="316" spans="1:10">
      <c r="A316" t="s">
        <v>329</v>
      </c>
      <c r="B316" t="s">
        <v>120</v>
      </c>
      <c r="C316" t="s">
        <v>68</v>
      </c>
      <c r="D316" t="s">
        <v>36</v>
      </c>
      <c r="E316" t="s">
        <v>50</v>
      </c>
      <c r="F316" t="s">
        <v>22</v>
      </c>
      <c r="G316" t="s">
        <v>23</v>
      </c>
      <c r="H316">
        <v>14</v>
      </c>
      <c r="I316">
        <v>402</v>
      </c>
      <c r="J316">
        <v>5628</v>
      </c>
    </row>
    <row r="317" spans="1:10">
      <c r="A317" t="s">
        <v>206</v>
      </c>
      <c r="B317" t="s">
        <v>88</v>
      </c>
      <c r="C317" t="s">
        <v>281</v>
      </c>
      <c r="D317" t="s">
        <v>131</v>
      </c>
      <c r="E317" t="s">
        <v>32</v>
      </c>
      <c r="F317" t="s">
        <v>15</v>
      </c>
      <c r="G317" t="s">
        <v>16</v>
      </c>
      <c r="H317">
        <v>14</v>
      </c>
      <c r="I317">
        <v>747</v>
      </c>
      <c r="J317">
        <v>10458</v>
      </c>
    </row>
    <row r="318" spans="1:10">
      <c r="A318" t="s">
        <v>257</v>
      </c>
      <c r="B318" t="s">
        <v>18</v>
      </c>
      <c r="C318" t="s">
        <v>111</v>
      </c>
      <c r="D318" t="s">
        <v>112</v>
      </c>
      <c r="E318" t="s">
        <v>50</v>
      </c>
      <c r="F318" t="s">
        <v>15</v>
      </c>
      <c r="G318" t="s">
        <v>16</v>
      </c>
      <c r="H318">
        <v>14</v>
      </c>
      <c r="I318">
        <v>756</v>
      </c>
      <c r="J318">
        <v>10584</v>
      </c>
    </row>
    <row r="319" spans="1:10">
      <c r="A319" t="s">
        <v>165</v>
      </c>
      <c r="B319" t="s">
        <v>108</v>
      </c>
      <c r="C319" t="s">
        <v>288</v>
      </c>
      <c r="D319" t="s">
        <v>164</v>
      </c>
      <c r="E319" t="s">
        <v>21</v>
      </c>
      <c r="F319" t="s">
        <v>58</v>
      </c>
      <c r="G319" t="s">
        <v>23</v>
      </c>
      <c r="H319">
        <v>12</v>
      </c>
      <c r="I319">
        <v>479</v>
      </c>
      <c r="J319">
        <v>5748</v>
      </c>
    </row>
    <row r="320" spans="1:10">
      <c r="A320" t="s">
        <v>206</v>
      </c>
      <c r="B320" t="s">
        <v>88</v>
      </c>
      <c r="C320" t="s">
        <v>281</v>
      </c>
      <c r="D320" t="s">
        <v>131</v>
      </c>
      <c r="E320" t="s">
        <v>32</v>
      </c>
      <c r="F320" t="s">
        <v>15</v>
      </c>
      <c r="G320" t="s">
        <v>16</v>
      </c>
      <c r="H320">
        <v>14</v>
      </c>
      <c r="I320">
        <v>747</v>
      </c>
      <c r="J320">
        <v>10458</v>
      </c>
    </row>
    <row r="321" spans="1:10">
      <c r="A321" t="s">
        <v>285</v>
      </c>
      <c r="B321" t="s">
        <v>30</v>
      </c>
      <c r="C321" t="s">
        <v>147</v>
      </c>
      <c r="D321" t="s">
        <v>49</v>
      </c>
      <c r="E321" t="s">
        <v>21</v>
      </c>
      <c r="F321" t="s">
        <v>33</v>
      </c>
      <c r="G321" t="s">
        <v>23</v>
      </c>
      <c r="H321">
        <v>24</v>
      </c>
      <c r="I321">
        <v>397</v>
      </c>
      <c r="J321">
        <v>9528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A5BD8-6F38-4323-AAED-701C6191C4B1}">
  <dimension ref="A1:M311"/>
  <sheetViews>
    <sheetView workbookViewId="0">
      <pane ySplit="1" topLeftCell="A2" activePane="bottomLeft" state="frozen"/>
      <selection pane="bottomLeft" activeCell="C10" sqref="C10"/>
    </sheetView>
  </sheetViews>
  <sheetFormatPr defaultColWidth="27.77734375" defaultRowHeight="14.4"/>
  <cols>
    <col min="1" max="1" width="15.21875" style="3" customWidth="1"/>
    <col min="2" max="2" width="24.33203125" style="3" customWidth="1"/>
    <col min="3" max="8" width="27.77734375" style="3"/>
    <col min="9" max="9" width="18.6640625" style="3" customWidth="1"/>
    <col min="10" max="10" width="20.88671875" style="3" customWidth="1"/>
    <col min="11" max="11" width="27.77734375" style="3"/>
    <col min="12" max="12" width="29.88671875" style="3" customWidth="1"/>
    <col min="13" max="13" width="69.109375" style="3" customWidth="1"/>
    <col min="14" max="16384" width="27.77734375" style="3"/>
  </cols>
  <sheetData>
    <row r="1" spans="1:13" ht="15.6">
      <c r="A1" s="2" t="s">
        <v>0</v>
      </c>
      <c r="B1" s="2" t="s">
        <v>330</v>
      </c>
      <c r="C1" s="2" t="s">
        <v>331</v>
      </c>
      <c r="D1" s="2" t="s">
        <v>332</v>
      </c>
      <c r="E1" s="2" t="s">
        <v>2</v>
      </c>
      <c r="F1" s="2" t="s">
        <v>3</v>
      </c>
      <c r="G1" s="2" t="s">
        <v>4</v>
      </c>
      <c r="H1" s="2" t="s">
        <v>5</v>
      </c>
      <c r="I1" s="2" t="s">
        <v>6</v>
      </c>
      <c r="J1" s="2" t="s">
        <v>7</v>
      </c>
      <c r="K1" s="2" t="s">
        <v>8</v>
      </c>
      <c r="L1" s="2" t="s">
        <v>9</v>
      </c>
      <c r="M1" s="2" t="s">
        <v>333</v>
      </c>
    </row>
    <row r="2" spans="1:13">
      <c r="A2" s="3" t="s">
        <v>109</v>
      </c>
      <c r="B2" s="25">
        <v>46174</v>
      </c>
      <c r="C2" s="3" t="s">
        <v>52</v>
      </c>
      <c r="D2" s="3" t="s">
        <v>25</v>
      </c>
      <c r="E2" s="3" t="s">
        <v>26</v>
      </c>
      <c r="F2" s="3" t="s">
        <v>27</v>
      </c>
      <c r="G2" s="3" t="s">
        <v>14</v>
      </c>
      <c r="H2" s="3" t="s">
        <v>22</v>
      </c>
      <c r="I2" s="3" t="s">
        <v>23</v>
      </c>
      <c r="J2" s="3">
        <v>21</v>
      </c>
      <c r="K2" s="3">
        <v>422</v>
      </c>
      <c r="L2" s="3">
        <v>8862</v>
      </c>
      <c r="M2" s="26"/>
    </row>
    <row r="3" spans="1:13">
      <c r="A3" s="3" t="s">
        <v>109</v>
      </c>
      <c r="B3" s="25">
        <v>46174</v>
      </c>
      <c r="C3" s="3" t="s">
        <v>25</v>
      </c>
      <c r="D3" s="3" t="s">
        <v>25</v>
      </c>
      <c r="E3" s="3" t="s">
        <v>163</v>
      </c>
      <c r="F3" s="3" t="s">
        <v>164</v>
      </c>
      <c r="G3" s="3" t="s">
        <v>32</v>
      </c>
      <c r="H3" s="3" t="s">
        <v>58</v>
      </c>
      <c r="I3" s="3" t="s">
        <v>23</v>
      </c>
      <c r="J3" s="3">
        <v>8</v>
      </c>
      <c r="K3" s="3">
        <v>469</v>
      </c>
      <c r="L3" s="3">
        <v>3752</v>
      </c>
    </row>
    <row r="4" spans="1:13">
      <c r="A4" s="3" t="s">
        <v>233</v>
      </c>
      <c r="B4" s="25">
        <v>46174</v>
      </c>
      <c r="C4" s="3" t="s">
        <v>95</v>
      </c>
      <c r="D4" s="3" t="s">
        <v>95</v>
      </c>
      <c r="E4" s="3" t="s">
        <v>234</v>
      </c>
      <c r="F4" s="3" t="s">
        <v>235</v>
      </c>
      <c r="G4" s="3" t="s">
        <v>50</v>
      </c>
      <c r="H4" s="3" t="s">
        <v>15</v>
      </c>
      <c r="I4" s="3" t="s">
        <v>16</v>
      </c>
      <c r="J4" s="3">
        <v>18</v>
      </c>
      <c r="K4" s="3">
        <v>756</v>
      </c>
      <c r="L4" s="3">
        <v>13608</v>
      </c>
    </row>
    <row r="5" spans="1:13">
      <c r="A5" s="3" t="s">
        <v>303</v>
      </c>
      <c r="B5" s="25">
        <v>46174</v>
      </c>
      <c r="C5" s="3" t="s">
        <v>95</v>
      </c>
      <c r="D5" s="3" t="s">
        <v>95</v>
      </c>
      <c r="E5" s="3" t="s">
        <v>251</v>
      </c>
      <c r="F5" s="3" t="s">
        <v>137</v>
      </c>
      <c r="G5" s="3" t="s">
        <v>50</v>
      </c>
      <c r="H5" s="3" t="s">
        <v>42</v>
      </c>
      <c r="I5" s="3" t="s">
        <v>23</v>
      </c>
      <c r="J5" s="3">
        <v>25</v>
      </c>
      <c r="K5" s="3">
        <v>418</v>
      </c>
      <c r="L5" s="3">
        <v>10450</v>
      </c>
    </row>
    <row r="6" spans="1:13">
      <c r="A6" s="3" t="s">
        <v>109</v>
      </c>
      <c r="B6" s="25">
        <v>46174</v>
      </c>
      <c r="C6" s="3" t="s">
        <v>88</v>
      </c>
      <c r="D6" s="3" t="s">
        <v>25</v>
      </c>
      <c r="E6" s="3" t="s">
        <v>316</v>
      </c>
      <c r="F6" s="3" t="s">
        <v>112</v>
      </c>
      <c r="G6" s="3" t="s">
        <v>14</v>
      </c>
      <c r="H6" s="3" t="s">
        <v>22</v>
      </c>
      <c r="I6" s="3" t="s">
        <v>23</v>
      </c>
      <c r="J6" s="3">
        <v>25</v>
      </c>
      <c r="K6" s="3">
        <v>400</v>
      </c>
      <c r="L6" s="3">
        <v>10000</v>
      </c>
    </row>
    <row r="7" spans="1:13">
      <c r="A7" s="3" t="s">
        <v>264</v>
      </c>
      <c r="B7" s="25">
        <v>46175</v>
      </c>
      <c r="C7" s="3" t="s">
        <v>52</v>
      </c>
      <c r="D7" s="3" t="s">
        <v>25</v>
      </c>
      <c r="E7" s="3" t="s">
        <v>26</v>
      </c>
      <c r="F7" s="3" t="s">
        <v>27</v>
      </c>
      <c r="G7" s="3" t="s">
        <v>14</v>
      </c>
      <c r="H7" s="3" t="s">
        <v>58</v>
      </c>
      <c r="I7" s="3" t="s">
        <v>23</v>
      </c>
      <c r="J7" s="3">
        <v>13</v>
      </c>
      <c r="K7" s="3">
        <v>464</v>
      </c>
      <c r="L7" s="3">
        <v>6032</v>
      </c>
    </row>
    <row r="8" spans="1:13">
      <c r="A8" s="3" t="s">
        <v>264</v>
      </c>
      <c r="B8" s="25">
        <v>46175</v>
      </c>
      <c r="C8" s="3" t="s">
        <v>120</v>
      </c>
      <c r="D8" s="3" t="s">
        <v>120</v>
      </c>
      <c r="E8" s="3" t="s">
        <v>68</v>
      </c>
      <c r="F8" s="3" t="s">
        <v>36</v>
      </c>
      <c r="G8" s="3" t="s">
        <v>50</v>
      </c>
      <c r="H8" s="3" t="s">
        <v>15</v>
      </c>
      <c r="I8" s="3" t="s">
        <v>16</v>
      </c>
      <c r="J8" s="3">
        <v>24</v>
      </c>
      <c r="K8" s="3">
        <v>743</v>
      </c>
      <c r="L8" s="3">
        <v>17832</v>
      </c>
    </row>
    <row r="9" spans="1:13">
      <c r="A9" s="3" t="s">
        <v>312</v>
      </c>
      <c r="B9" s="25">
        <v>46175</v>
      </c>
      <c r="C9" s="3" t="s">
        <v>120</v>
      </c>
      <c r="D9" s="3" t="s">
        <v>120</v>
      </c>
      <c r="E9" s="3" t="s">
        <v>278</v>
      </c>
      <c r="F9" s="3" t="s">
        <v>242</v>
      </c>
      <c r="G9" s="3" t="s">
        <v>32</v>
      </c>
      <c r="H9" s="3" t="s">
        <v>28</v>
      </c>
      <c r="I9" s="3" t="s">
        <v>23</v>
      </c>
      <c r="J9" s="3">
        <v>18</v>
      </c>
      <c r="K9" s="3">
        <v>300</v>
      </c>
      <c r="L9" s="3">
        <v>5400</v>
      </c>
    </row>
    <row r="10" spans="1:13">
      <c r="A10" s="3" t="s">
        <v>317</v>
      </c>
      <c r="B10" s="25">
        <v>46175</v>
      </c>
      <c r="C10" s="3" t="s">
        <v>44</v>
      </c>
      <c r="D10" s="3" t="s">
        <v>44</v>
      </c>
      <c r="E10" s="3" t="s">
        <v>276</v>
      </c>
      <c r="F10" s="3" t="s">
        <v>164</v>
      </c>
      <c r="G10" s="3" t="s">
        <v>32</v>
      </c>
      <c r="H10" s="3" t="s">
        <v>22</v>
      </c>
      <c r="I10" s="3" t="s">
        <v>23</v>
      </c>
      <c r="J10" s="3">
        <v>21</v>
      </c>
      <c r="K10" s="3">
        <v>398</v>
      </c>
      <c r="L10" s="3">
        <v>8358</v>
      </c>
    </row>
    <row r="11" spans="1:13">
      <c r="A11" s="3" t="s">
        <v>312</v>
      </c>
      <c r="B11" s="25">
        <v>46175</v>
      </c>
      <c r="C11" s="3" t="s">
        <v>11</v>
      </c>
      <c r="D11" s="3" t="s">
        <v>120</v>
      </c>
      <c r="E11" s="3" t="s">
        <v>327</v>
      </c>
      <c r="F11" s="3" t="s">
        <v>36</v>
      </c>
      <c r="G11" s="3" t="s">
        <v>21</v>
      </c>
      <c r="H11" s="3" t="s">
        <v>28</v>
      </c>
      <c r="I11" s="3" t="s">
        <v>23</v>
      </c>
      <c r="J11" s="3">
        <v>10</v>
      </c>
      <c r="K11" s="3">
        <v>292</v>
      </c>
      <c r="L11" s="3">
        <v>2920</v>
      </c>
    </row>
    <row r="12" spans="1:13">
      <c r="A12" s="3" t="s">
        <v>51</v>
      </c>
      <c r="B12" s="25">
        <v>46176</v>
      </c>
      <c r="C12" s="3" t="s">
        <v>52</v>
      </c>
      <c r="D12" s="3" t="s">
        <v>25</v>
      </c>
      <c r="E12" s="3" t="s">
        <v>53</v>
      </c>
      <c r="F12" s="3" t="s">
        <v>54</v>
      </c>
      <c r="G12" s="3" t="s">
        <v>50</v>
      </c>
      <c r="H12" s="3" t="s">
        <v>28</v>
      </c>
      <c r="I12" s="3" t="s">
        <v>23</v>
      </c>
      <c r="J12" s="3">
        <v>21</v>
      </c>
      <c r="K12" s="3">
        <v>297</v>
      </c>
      <c r="L12" s="3">
        <v>6237</v>
      </c>
    </row>
    <row r="13" spans="1:13">
      <c r="A13" s="3" t="s">
        <v>183</v>
      </c>
      <c r="B13" s="25">
        <v>46176</v>
      </c>
      <c r="C13" s="3" t="s">
        <v>25</v>
      </c>
      <c r="D13" s="3" t="s">
        <v>25</v>
      </c>
      <c r="E13" s="3" t="s">
        <v>163</v>
      </c>
      <c r="F13" s="3" t="s">
        <v>164</v>
      </c>
      <c r="G13" s="3" t="s">
        <v>32</v>
      </c>
      <c r="H13" s="3" t="s">
        <v>28</v>
      </c>
      <c r="I13" s="3" t="s">
        <v>23</v>
      </c>
      <c r="J13" s="3">
        <v>22</v>
      </c>
      <c r="K13" s="3">
        <v>295</v>
      </c>
      <c r="L13" s="3">
        <v>6490</v>
      </c>
    </row>
    <row r="14" spans="1:13">
      <c r="A14" s="3" t="s">
        <v>183</v>
      </c>
      <c r="B14" s="25">
        <v>46176</v>
      </c>
      <c r="C14" s="3" t="s">
        <v>139</v>
      </c>
      <c r="D14" s="3" t="s">
        <v>139</v>
      </c>
      <c r="E14" s="3" t="s">
        <v>297</v>
      </c>
      <c r="F14" s="3" t="s">
        <v>106</v>
      </c>
      <c r="G14" s="3" t="s">
        <v>50</v>
      </c>
      <c r="H14" s="3" t="s">
        <v>15</v>
      </c>
      <c r="I14" s="3" t="s">
        <v>16</v>
      </c>
      <c r="J14" s="3">
        <v>21</v>
      </c>
      <c r="K14" s="3">
        <v>744</v>
      </c>
      <c r="L14" s="3">
        <v>15624</v>
      </c>
    </row>
    <row r="15" spans="1:13">
      <c r="A15" s="3" t="s">
        <v>51</v>
      </c>
      <c r="B15" s="25">
        <v>46176</v>
      </c>
      <c r="C15" s="3" t="s">
        <v>108</v>
      </c>
      <c r="D15" s="3" t="s">
        <v>44</v>
      </c>
      <c r="E15" s="3" t="s">
        <v>224</v>
      </c>
      <c r="F15" s="3" t="s">
        <v>106</v>
      </c>
      <c r="G15" s="3" t="s">
        <v>41</v>
      </c>
      <c r="H15" s="3" t="s">
        <v>33</v>
      </c>
      <c r="I15" s="3" t="s">
        <v>23</v>
      </c>
      <c r="J15" s="3">
        <v>10</v>
      </c>
      <c r="K15" s="3">
        <v>399</v>
      </c>
      <c r="L15" s="3">
        <v>3990</v>
      </c>
    </row>
    <row r="16" spans="1:13">
      <c r="A16" s="3" t="s">
        <v>183</v>
      </c>
      <c r="B16" s="25">
        <v>46176</v>
      </c>
      <c r="C16" s="3" t="s">
        <v>11</v>
      </c>
      <c r="D16" s="3" t="s">
        <v>120</v>
      </c>
      <c r="E16" s="3" t="s">
        <v>327</v>
      </c>
      <c r="F16" s="3" t="s">
        <v>36</v>
      </c>
      <c r="G16" s="3" t="s">
        <v>21</v>
      </c>
      <c r="H16" s="3" t="s">
        <v>15</v>
      </c>
      <c r="I16" s="3" t="s">
        <v>16</v>
      </c>
      <c r="J16" s="3">
        <v>1</v>
      </c>
      <c r="K16" s="3">
        <v>757</v>
      </c>
      <c r="L16" s="3">
        <v>757</v>
      </c>
    </row>
    <row r="17" spans="1:12">
      <c r="A17" s="3" t="s">
        <v>69</v>
      </c>
      <c r="B17" s="25">
        <v>46177</v>
      </c>
      <c r="C17" s="3" t="s">
        <v>44</v>
      </c>
      <c r="D17" s="3" t="s">
        <v>44</v>
      </c>
      <c r="E17" s="3" t="s">
        <v>70</v>
      </c>
      <c r="F17" s="3" t="s">
        <v>71</v>
      </c>
      <c r="G17" s="3" t="s">
        <v>50</v>
      </c>
      <c r="H17" s="3" t="s">
        <v>42</v>
      </c>
      <c r="I17" s="3" t="s">
        <v>23</v>
      </c>
      <c r="J17" s="3">
        <v>10</v>
      </c>
      <c r="K17" s="3">
        <v>417</v>
      </c>
      <c r="L17" s="3">
        <v>4170</v>
      </c>
    </row>
    <row r="18" spans="1:12">
      <c r="A18" s="3" t="s">
        <v>87</v>
      </c>
      <c r="B18" s="25">
        <v>46177</v>
      </c>
      <c r="C18" s="3" t="s">
        <v>88</v>
      </c>
      <c r="D18" s="3" t="s">
        <v>25</v>
      </c>
      <c r="E18" s="3" t="s">
        <v>89</v>
      </c>
      <c r="F18" s="3" t="s">
        <v>90</v>
      </c>
      <c r="G18" s="3" t="s">
        <v>50</v>
      </c>
      <c r="H18" s="3" t="s">
        <v>28</v>
      </c>
      <c r="I18" s="3" t="s">
        <v>23</v>
      </c>
      <c r="J18" s="3">
        <v>1</v>
      </c>
      <c r="K18" s="3">
        <v>288</v>
      </c>
      <c r="L18" s="3">
        <v>288</v>
      </c>
    </row>
    <row r="19" spans="1:12">
      <c r="A19" s="3" t="s">
        <v>69</v>
      </c>
      <c r="B19" s="25">
        <v>46177</v>
      </c>
      <c r="C19" s="3" t="s">
        <v>52</v>
      </c>
      <c r="D19" s="3" t="s">
        <v>25</v>
      </c>
      <c r="E19" s="3" t="s">
        <v>53</v>
      </c>
      <c r="F19" s="3" t="s">
        <v>54</v>
      </c>
      <c r="G19" s="3" t="s">
        <v>50</v>
      </c>
      <c r="H19" s="3" t="s">
        <v>33</v>
      </c>
      <c r="I19" s="3" t="s">
        <v>23</v>
      </c>
      <c r="J19" s="3">
        <v>12</v>
      </c>
      <c r="K19" s="3">
        <v>406</v>
      </c>
      <c r="L19" s="3">
        <v>4872</v>
      </c>
    </row>
    <row r="20" spans="1:12">
      <c r="A20" s="3" t="s">
        <v>69</v>
      </c>
      <c r="B20" s="25">
        <v>46177</v>
      </c>
      <c r="C20" s="3" t="s">
        <v>110</v>
      </c>
      <c r="D20" s="3" t="s">
        <v>95</v>
      </c>
      <c r="E20" s="3" t="s">
        <v>195</v>
      </c>
      <c r="F20" s="3" t="s">
        <v>196</v>
      </c>
      <c r="G20" s="3" t="s">
        <v>21</v>
      </c>
      <c r="H20" s="3" t="s">
        <v>22</v>
      </c>
      <c r="I20" s="3" t="s">
        <v>23</v>
      </c>
      <c r="J20" s="3">
        <v>25</v>
      </c>
      <c r="K20" s="3">
        <v>422</v>
      </c>
      <c r="L20" s="3">
        <v>10550</v>
      </c>
    </row>
    <row r="21" spans="1:12">
      <c r="A21" s="3" t="s">
        <v>69</v>
      </c>
      <c r="B21" s="25">
        <v>46177</v>
      </c>
      <c r="C21" s="3" t="s">
        <v>95</v>
      </c>
      <c r="D21" s="3" t="s">
        <v>95</v>
      </c>
      <c r="E21" s="3" t="s">
        <v>96</v>
      </c>
      <c r="F21" s="3" t="s">
        <v>97</v>
      </c>
      <c r="G21" s="3" t="s">
        <v>21</v>
      </c>
      <c r="H21" s="3" t="s">
        <v>22</v>
      </c>
      <c r="I21" s="3" t="s">
        <v>23</v>
      </c>
      <c r="J21" s="3">
        <v>2</v>
      </c>
      <c r="K21" s="3">
        <v>402</v>
      </c>
      <c r="L21" s="3">
        <v>804</v>
      </c>
    </row>
    <row r="22" spans="1:12">
      <c r="A22" s="3" t="s">
        <v>313</v>
      </c>
      <c r="B22" s="25">
        <v>46177</v>
      </c>
      <c r="C22" s="3" t="s">
        <v>73</v>
      </c>
      <c r="D22" s="3" t="s">
        <v>44</v>
      </c>
      <c r="E22" s="3" t="s">
        <v>210</v>
      </c>
      <c r="F22" s="3" t="s">
        <v>131</v>
      </c>
      <c r="G22" s="3" t="s">
        <v>32</v>
      </c>
      <c r="H22" s="3" t="s">
        <v>33</v>
      </c>
      <c r="I22" s="3" t="s">
        <v>23</v>
      </c>
      <c r="J22" s="3">
        <v>8</v>
      </c>
      <c r="K22" s="3">
        <v>380</v>
      </c>
      <c r="L22" s="3">
        <v>3040</v>
      </c>
    </row>
    <row r="23" spans="1:12">
      <c r="A23" s="3" t="s">
        <v>78</v>
      </c>
      <c r="B23" s="25">
        <v>46178</v>
      </c>
      <c r="C23" s="3" t="s">
        <v>44</v>
      </c>
      <c r="D23" s="3" t="s">
        <v>44</v>
      </c>
      <c r="E23" s="3" t="s">
        <v>79</v>
      </c>
      <c r="F23" s="3" t="s">
        <v>80</v>
      </c>
      <c r="G23" s="3" t="s">
        <v>32</v>
      </c>
      <c r="H23" s="3" t="s">
        <v>58</v>
      </c>
      <c r="I23" s="3" t="s">
        <v>23</v>
      </c>
      <c r="J23" s="3">
        <v>16</v>
      </c>
      <c r="K23" s="3">
        <v>451</v>
      </c>
      <c r="L23" s="3">
        <v>7216</v>
      </c>
    </row>
    <row r="24" spans="1:12">
      <c r="A24" s="3" t="s">
        <v>206</v>
      </c>
      <c r="B24" s="25">
        <v>46178</v>
      </c>
      <c r="C24" s="3" t="s">
        <v>139</v>
      </c>
      <c r="D24" s="3" t="s">
        <v>139</v>
      </c>
      <c r="E24" s="3" t="s">
        <v>207</v>
      </c>
      <c r="F24" s="3" t="s">
        <v>196</v>
      </c>
      <c r="G24" s="3" t="s">
        <v>50</v>
      </c>
      <c r="H24" s="3" t="s">
        <v>33</v>
      </c>
      <c r="I24" s="3" t="s">
        <v>23</v>
      </c>
      <c r="J24" s="3">
        <v>17</v>
      </c>
      <c r="K24" s="3">
        <v>401</v>
      </c>
      <c r="L24" s="3">
        <v>6817</v>
      </c>
    </row>
    <row r="25" spans="1:12">
      <c r="A25" s="3" t="s">
        <v>206</v>
      </c>
      <c r="B25" s="25">
        <v>46178</v>
      </c>
      <c r="C25" s="3" t="s">
        <v>88</v>
      </c>
      <c r="D25" s="3" t="s">
        <v>25</v>
      </c>
      <c r="E25" s="3" t="s">
        <v>212</v>
      </c>
      <c r="F25" s="3" t="s">
        <v>20</v>
      </c>
      <c r="G25" s="3" t="s">
        <v>21</v>
      </c>
      <c r="H25" s="3" t="s">
        <v>15</v>
      </c>
      <c r="I25" s="3" t="s">
        <v>16</v>
      </c>
      <c r="J25" s="3">
        <v>5</v>
      </c>
      <c r="K25" s="3">
        <v>738</v>
      </c>
      <c r="L25" s="3">
        <v>3690</v>
      </c>
    </row>
    <row r="26" spans="1:12">
      <c r="A26" s="3" t="s">
        <v>227</v>
      </c>
      <c r="B26" s="25">
        <v>46178</v>
      </c>
      <c r="C26" s="3" t="s">
        <v>88</v>
      </c>
      <c r="D26" s="3" t="s">
        <v>25</v>
      </c>
      <c r="E26" s="3" t="s">
        <v>53</v>
      </c>
      <c r="F26" s="3" t="s">
        <v>54</v>
      </c>
      <c r="G26" s="3" t="s">
        <v>50</v>
      </c>
      <c r="H26" s="3" t="s">
        <v>22</v>
      </c>
      <c r="I26" s="3" t="s">
        <v>23</v>
      </c>
      <c r="J26" s="3">
        <v>6</v>
      </c>
      <c r="K26" s="3">
        <v>425</v>
      </c>
      <c r="L26" s="3">
        <v>2550</v>
      </c>
    </row>
    <row r="27" spans="1:12">
      <c r="A27" s="3" t="s">
        <v>78</v>
      </c>
      <c r="B27" s="25">
        <v>46178</v>
      </c>
      <c r="C27" s="3" t="s">
        <v>52</v>
      </c>
      <c r="D27" s="3" t="s">
        <v>25</v>
      </c>
      <c r="E27" s="3" t="s">
        <v>214</v>
      </c>
      <c r="F27" s="3" t="s">
        <v>77</v>
      </c>
      <c r="G27" s="3" t="s">
        <v>21</v>
      </c>
      <c r="H27" s="3" t="s">
        <v>22</v>
      </c>
      <c r="I27" s="3" t="s">
        <v>23</v>
      </c>
      <c r="J27" s="3">
        <v>7</v>
      </c>
      <c r="K27" s="3">
        <v>408</v>
      </c>
      <c r="L27" s="3">
        <v>2856</v>
      </c>
    </row>
    <row r="28" spans="1:12">
      <c r="A28" s="3" t="s">
        <v>78</v>
      </c>
      <c r="B28" s="25">
        <v>46178</v>
      </c>
      <c r="C28" s="3" t="s">
        <v>44</v>
      </c>
      <c r="D28" s="3" t="s">
        <v>44</v>
      </c>
      <c r="E28" s="3" t="s">
        <v>299</v>
      </c>
      <c r="F28" s="3" t="s">
        <v>300</v>
      </c>
      <c r="G28" s="3" t="s">
        <v>50</v>
      </c>
      <c r="H28" s="3" t="s">
        <v>58</v>
      </c>
      <c r="I28" s="3" t="s">
        <v>23</v>
      </c>
      <c r="J28" s="3">
        <v>4</v>
      </c>
      <c r="K28" s="3">
        <v>478</v>
      </c>
      <c r="L28" s="3">
        <v>1912</v>
      </c>
    </row>
    <row r="29" spans="1:12">
      <c r="A29" s="3" t="s">
        <v>206</v>
      </c>
      <c r="B29" s="25">
        <v>46178</v>
      </c>
      <c r="C29" s="3" t="s">
        <v>88</v>
      </c>
      <c r="D29" s="3" t="s">
        <v>25</v>
      </c>
      <c r="E29" s="3" t="s">
        <v>281</v>
      </c>
      <c r="F29" s="3" t="s">
        <v>131</v>
      </c>
      <c r="G29" s="3" t="s">
        <v>32</v>
      </c>
      <c r="H29" s="3" t="s">
        <v>15</v>
      </c>
      <c r="I29" s="3" t="s">
        <v>16</v>
      </c>
      <c r="J29" s="3">
        <v>14</v>
      </c>
      <c r="K29" s="3">
        <v>747</v>
      </c>
      <c r="L29" s="3">
        <v>10458</v>
      </c>
    </row>
    <row r="30" spans="1:12">
      <c r="A30" s="3" t="s">
        <v>246</v>
      </c>
      <c r="B30" s="25">
        <v>46179</v>
      </c>
      <c r="C30" s="3" t="s">
        <v>38</v>
      </c>
      <c r="D30" s="3" t="s">
        <v>139</v>
      </c>
      <c r="E30" s="3" t="s">
        <v>247</v>
      </c>
      <c r="F30" s="3" t="s">
        <v>106</v>
      </c>
      <c r="G30" s="3" t="s">
        <v>41</v>
      </c>
      <c r="H30" s="3" t="s">
        <v>33</v>
      </c>
      <c r="I30" s="3" t="s">
        <v>23</v>
      </c>
      <c r="J30" s="3">
        <v>10</v>
      </c>
      <c r="K30" s="3">
        <v>381</v>
      </c>
      <c r="L30" s="3">
        <v>3810</v>
      </c>
    </row>
    <row r="31" spans="1:12">
      <c r="A31" s="3" t="s">
        <v>265</v>
      </c>
      <c r="B31" s="25">
        <v>46179</v>
      </c>
      <c r="C31" s="3" t="s">
        <v>139</v>
      </c>
      <c r="D31" s="3" t="s">
        <v>139</v>
      </c>
      <c r="E31" s="3" t="s">
        <v>207</v>
      </c>
      <c r="F31" s="3" t="s">
        <v>196</v>
      </c>
      <c r="G31" s="3" t="s">
        <v>50</v>
      </c>
      <c r="H31" s="3" t="s">
        <v>58</v>
      </c>
      <c r="I31" s="3" t="s">
        <v>23</v>
      </c>
      <c r="J31" s="3">
        <v>20</v>
      </c>
      <c r="K31" s="3">
        <v>469</v>
      </c>
      <c r="L31" s="3">
        <v>9380</v>
      </c>
    </row>
    <row r="32" spans="1:12">
      <c r="A32" s="3" t="s">
        <v>310</v>
      </c>
      <c r="B32" s="25">
        <v>46179</v>
      </c>
      <c r="C32" s="3" t="s">
        <v>52</v>
      </c>
      <c r="D32" s="3" t="s">
        <v>25</v>
      </c>
      <c r="E32" s="3" t="s">
        <v>181</v>
      </c>
      <c r="F32" s="3" t="s">
        <v>131</v>
      </c>
      <c r="G32" s="3" t="s">
        <v>41</v>
      </c>
      <c r="H32" s="3" t="s">
        <v>28</v>
      </c>
      <c r="I32" s="3" t="s">
        <v>23</v>
      </c>
      <c r="J32" s="3">
        <v>7</v>
      </c>
      <c r="K32" s="3">
        <v>278</v>
      </c>
      <c r="L32" s="3">
        <v>1946</v>
      </c>
    </row>
    <row r="33" spans="1:12">
      <c r="A33" s="3" t="s">
        <v>37</v>
      </c>
      <c r="B33" s="25">
        <v>46180</v>
      </c>
      <c r="C33" s="3" t="s">
        <v>38</v>
      </c>
      <c r="D33" s="3" t="s">
        <v>139</v>
      </c>
      <c r="E33" s="3" t="s">
        <v>39</v>
      </c>
      <c r="F33" s="3" t="s">
        <v>40</v>
      </c>
      <c r="G33" s="3" t="s">
        <v>41</v>
      </c>
      <c r="H33" s="3" t="s">
        <v>42</v>
      </c>
      <c r="I33" s="3" t="s">
        <v>23</v>
      </c>
      <c r="J33" s="3">
        <v>12</v>
      </c>
      <c r="K33" s="3">
        <v>425</v>
      </c>
      <c r="L33" s="3">
        <v>5100</v>
      </c>
    </row>
    <row r="34" spans="1:12">
      <c r="A34" s="3" t="s">
        <v>171</v>
      </c>
      <c r="B34" s="25">
        <v>46180</v>
      </c>
      <c r="C34" s="3" t="s">
        <v>120</v>
      </c>
      <c r="D34" s="3" t="s">
        <v>120</v>
      </c>
      <c r="E34" s="3" t="s">
        <v>172</v>
      </c>
      <c r="F34" s="3" t="s">
        <v>40</v>
      </c>
      <c r="G34" s="3" t="s">
        <v>21</v>
      </c>
      <c r="H34" s="3" t="s">
        <v>22</v>
      </c>
      <c r="I34" s="3" t="s">
        <v>23</v>
      </c>
      <c r="J34" s="3">
        <v>4</v>
      </c>
      <c r="K34" s="3">
        <v>425</v>
      </c>
      <c r="L34" s="3">
        <v>1700</v>
      </c>
    </row>
    <row r="35" spans="1:12">
      <c r="A35" s="3" t="s">
        <v>171</v>
      </c>
      <c r="B35" s="25">
        <v>46180</v>
      </c>
      <c r="C35" s="3" t="s">
        <v>38</v>
      </c>
      <c r="D35" s="3" t="s">
        <v>139</v>
      </c>
      <c r="E35" s="3" t="s">
        <v>39</v>
      </c>
      <c r="F35" s="3" t="s">
        <v>40</v>
      </c>
      <c r="G35" s="3" t="s">
        <v>41</v>
      </c>
      <c r="H35" s="3" t="s">
        <v>42</v>
      </c>
      <c r="I35" s="3" t="s">
        <v>23</v>
      </c>
      <c r="J35" s="3">
        <v>18</v>
      </c>
      <c r="K35" s="3">
        <v>419</v>
      </c>
      <c r="L35" s="3">
        <v>7542</v>
      </c>
    </row>
    <row r="36" spans="1:12">
      <c r="A36" s="3" t="s">
        <v>37</v>
      </c>
      <c r="B36" s="25">
        <v>46180</v>
      </c>
      <c r="C36" s="3" t="s">
        <v>108</v>
      </c>
      <c r="D36" s="3" t="s">
        <v>44</v>
      </c>
      <c r="E36" s="3" t="s">
        <v>224</v>
      </c>
      <c r="F36" s="3" t="s">
        <v>106</v>
      </c>
      <c r="G36" s="3" t="s">
        <v>41</v>
      </c>
      <c r="H36" s="3" t="s">
        <v>15</v>
      </c>
      <c r="I36" s="3" t="s">
        <v>16</v>
      </c>
      <c r="J36" s="3">
        <v>3</v>
      </c>
      <c r="K36" s="3">
        <v>742</v>
      </c>
      <c r="L36" s="3">
        <v>2226</v>
      </c>
    </row>
    <row r="37" spans="1:12">
      <c r="A37" s="3" t="s">
        <v>37</v>
      </c>
      <c r="B37" s="25">
        <v>46180</v>
      </c>
      <c r="C37" s="3" t="s">
        <v>88</v>
      </c>
      <c r="D37" s="3" t="s">
        <v>25</v>
      </c>
      <c r="E37" s="3" t="s">
        <v>163</v>
      </c>
      <c r="F37" s="3" t="s">
        <v>164</v>
      </c>
      <c r="G37" s="3" t="s">
        <v>32</v>
      </c>
      <c r="H37" s="3" t="s">
        <v>22</v>
      </c>
      <c r="I37" s="3" t="s">
        <v>23</v>
      </c>
      <c r="J37" s="3">
        <v>16</v>
      </c>
      <c r="K37" s="3">
        <v>425</v>
      </c>
      <c r="L37" s="3">
        <v>6800</v>
      </c>
    </row>
    <row r="38" spans="1:12">
      <c r="A38" s="3" t="s">
        <v>309</v>
      </c>
      <c r="B38" s="25">
        <v>46180</v>
      </c>
      <c r="C38" s="3" t="s">
        <v>88</v>
      </c>
      <c r="D38" s="3" t="s">
        <v>25</v>
      </c>
      <c r="E38" s="3" t="s">
        <v>181</v>
      </c>
      <c r="F38" s="3" t="s">
        <v>131</v>
      </c>
      <c r="G38" s="3" t="s">
        <v>41</v>
      </c>
      <c r="H38" s="3" t="s">
        <v>15</v>
      </c>
      <c r="I38" s="3" t="s">
        <v>16</v>
      </c>
      <c r="J38" s="3">
        <v>8</v>
      </c>
      <c r="K38" s="3">
        <v>750</v>
      </c>
      <c r="L38" s="3">
        <v>6000</v>
      </c>
    </row>
    <row r="39" spans="1:12">
      <c r="A39" s="3" t="s">
        <v>171</v>
      </c>
      <c r="B39" s="25">
        <v>46180</v>
      </c>
      <c r="C39" s="3" t="s">
        <v>44</v>
      </c>
      <c r="D39" s="3" t="s">
        <v>44</v>
      </c>
      <c r="E39" s="3" t="s">
        <v>186</v>
      </c>
      <c r="F39" s="3" t="s">
        <v>36</v>
      </c>
      <c r="G39" s="3" t="s">
        <v>21</v>
      </c>
      <c r="H39" s="3" t="s">
        <v>58</v>
      </c>
      <c r="I39" s="3" t="s">
        <v>23</v>
      </c>
      <c r="J39" s="3">
        <v>7</v>
      </c>
      <c r="K39" s="3">
        <v>468</v>
      </c>
      <c r="L39" s="3">
        <v>3276</v>
      </c>
    </row>
    <row r="40" spans="1:12">
      <c r="A40" s="3" t="s">
        <v>199</v>
      </c>
      <c r="B40" s="25">
        <v>46181</v>
      </c>
      <c r="C40" s="3" t="s">
        <v>139</v>
      </c>
      <c r="D40" s="3" t="s">
        <v>139</v>
      </c>
      <c r="E40" s="3" t="s">
        <v>200</v>
      </c>
      <c r="F40" s="3" t="s">
        <v>100</v>
      </c>
      <c r="G40" s="3" t="s">
        <v>21</v>
      </c>
      <c r="H40" s="3" t="s">
        <v>33</v>
      </c>
      <c r="I40" s="3" t="s">
        <v>23</v>
      </c>
      <c r="J40" s="3">
        <v>18</v>
      </c>
      <c r="K40" s="3">
        <v>386</v>
      </c>
      <c r="L40" s="3">
        <v>6948</v>
      </c>
    </row>
    <row r="41" spans="1:12">
      <c r="A41" s="3" t="s">
        <v>225</v>
      </c>
      <c r="B41" s="25">
        <v>46181</v>
      </c>
      <c r="C41" s="3" t="s">
        <v>73</v>
      </c>
      <c r="D41" s="3" t="s">
        <v>44</v>
      </c>
      <c r="E41" s="3" t="s">
        <v>210</v>
      </c>
      <c r="F41" s="3" t="s">
        <v>131</v>
      </c>
      <c r="G41" s="3" t="s">
        <v>32</v>
      </c>
      <c r="H41" s="3" t="s">
        <v>15</v>
      </c>
      <c r="I41" s="3" t="s">
        <v>16</v>
      </c>
      <c r="J41" s="3">
        <v>3</v>
      </c>
      <c r="K41" s="3">
        <v>736</v>
      </c>
      <c r="L41" s="3">
        <v>2208</v>
      </c>
    </row>
    <row r="42" spans="1:12">
      <c r="A42" s="3" t="s">
        <v>225</v>
      </c>
      <c r="B42" s="25">
        <v>46181</v>
      </c>
      <c r="C42" s="3" t="s">
        <v>120</v>
      </c>
      <c r="D42" s="3" t="s">
        <v>120</v>
      </c>
      <c r="E42" s="3" t="s">
        <v>258</v>
      </c>
      <c r="F42" s="3" t="s">
        <v>100</v>
      </c>
      <c r="G42" s="3" t="s">
        <v>41</v>
      </c>
      <c r="H42" s="3" t="s">
        <v>42</v>
      </c>
      <c r="I42" s="3" t="s">
        <v>23</v>
      </c>
      <c r="J42" s="3">
        <v>18</v>
      </c>
      <c r="K42" s="3">
        <v>429</v>
      </c>
      <c r="L42" s="3">
        <v>7722</v>
      </c>
    </row>
    <row r="43" spans="1:12">
      <c r="A43" s="3" t="s">
        <v>314</v>
      </c>
      <c r="B43" s="25">
        <v>46181</v>
      </c>
      <c r="C43" s="3" t="s">
        <v>30</v>
      </c>
      <c r="D43" s="3" t="s">
        <v>44</v>
      </c>
      <c r="E43" s="3" t="s">
        <v>273</v>
      </c>
      <c r="F43" s="3" t="s">
        <v>71</v>
      </c>
      <c r="G43" s="3" t="s">
        <v>41</v>
      </c>
      <c r="H43" s="3" t="s">
        <v>15</v>
      </c>
      <c r="I43" s="3" t="s">
        <v>16</v>
      </c>
      <c r="J43" s="3">
        <v>20</v>
      </c>
      <c r="K43" s="3">
        <v>737</v>
      </c>
      <c r="L43" s="3">
        <v>14740</v>
      </c>
    </row>
    <row r="44" spans="1:12">
      <c r="A44" s="3" t="s">
        <v>314</v>
      </c>
      <c r="B44" s="25">
        <v>46181</v>
      </c>
      <c r="C44" s="3" t="s">
        <v>25</v>
      </c>
      <c r="D44" s="3" t="s">
        <v>25</v>
      </c>
      <c r="E44" s="3" t="s">
        <v>26</v>
      </c>
      <c r="F44" s="3" t="s">
        <v>27</v>
      </c>
      <c r="G44" s="3" t="s">
        <v>14</v>
      </c>
      <c r="H44" s="3" t="s">
        <v>28</v>
      </c>
      <c r="I44" s="3" t="s">
        <v>23</v>
      </c>
      <c r="J44" s="3">
        <v>3</v>
      </c>
      <c r="K44" s="3">
        <v>290</v>
      </c>
      <c r="L44" s="3">
        <v>870</v>
      </c>
    </row>
    <row r="45" spans="1:12">
      <c r="A45" s="3" t="s">
        <v>199</v>
      </c>
      <c r="B45" s="25">
        <v>46181</v>
      </c>
      <c r="C45" s="3" t="s">
        <v>120</v>
      </c>
      <c r="D45" s="3" t="s">
        <v>120</v>
      </c>
      <c r="E45" s="3" t="s">
        <v>278</v>
      </c>
      <c r="F45" s="3" t="s">
        <v>242</v>
      </c>
      <c r="G45" s="3" t="s">
        <v>32</v>
      </c>
      <c r="H45" s="3" t="s">
        <v>28</v>
      </c>
      <c r="I45" s="3" t="s">
        <v>23</v>
      </c>
      <c r="J45" s="3">
        <v>6</v>
      </c>
      <c r="K45" s="3">
        <v>292</v>
      </c>
      <c r="L45" s="3">
        <v>1752</v>
      </c>
    </row>
    <row r="46" spans="1:12">
      <c r="A46" s="3" t="s">
        <v>199</v>
      </c>
      <c r="B46" s="25">
        <v>46181</v>
      </c>
      <c r="C46" s="3" t="s">
        <v>52</v>
      </c>
      <c r="D46" s="3" t="s">
        <v>25</v>
      </c>
      <c r="E46" s="3" t="s">
        <v>169</v>
      </c>
      <c r="F46" s="3" t="s">
        <v>71</v>
      </c>
      <c r="G46" s="3" t="s">
        <v>32</v>
      </c>
      <c r="H46" s="3" t="s">
        <v>33</v>
      </c>
      <c r="I46" s="3" t="s">
        <v>23</v>
      </c>
      <c r="J46" s="3">
        <v>14</v>
      </c>
      <c r="K46" s="3">
        <v>392</v>
      </c>
      <c r="L46" s="3">
        <v>5488</v>
      </c>
    </row>
    <row r="47" spans="1:12">
      <c r="A47" s="3" t="s">
        <v>59</v>
      </c>
      <c r="B47" s="25">
        <v>46182</v>
      </c>
      <c r="C47" s="3" t="s">
        <v>44</v>
      </c>
      <c r="D47" s="3" t="s">
        <v>44</v>
      </c>
      <c r="E47" s="3" t="s">
        <v>60</v>
      </c>
      <c r="F47" s="3" t="s">
        <v>49</v>
      </c>
      <c r="G47" s="3" t="s">
        <v>32</v>
      </c>
      <c r="H47" s="3" t="s">
        <v>28</v>
      </c>
      <c r="I47" s="3" t="s">
        <v>23</v>
      </c>
      <c r="J47" s="3">
        <v>7</v>
      </c>
      <c r="K47" s="3">
        <v>280</v>
      </c>
      <c r="L47" s="3">
        <v>1960</v>
      </c>
    </row>
    <row r="48" spans="1:12">
      <c r="A48" s="3" t="s">
        <v>256</v>
      </c>
      <c r="B48" s="25">
        <v>46182</v>
      </c>
      <c r="C48" s="3" t="s">
        <v>30</v>
      </c>
      <c r="D48" s="3" t="s">
        <v>44</v>
      </c>
      <c r="E48" s="3" t="s">
        <v>174</v>
      </c>
      <c r="F48" s="3" t="s">
        <v>46</v>
      </c>
      <c r="G48" s="3" t="s">
        <v>21</v>
      </c>
      <c r="H48" s="3" t="s">
        <v>58</v>
      </c>
      <c r="I48" s="3" t="s">
        <v>23</v>
      </c>
      <c r="J48" s="3">
        <v>5</v>
      </c>
      <c r="K48" s="3">
        <v>459</v>
      </c>
      <c r="L48" s="3">
        <v>2295</v>
      </c>
    </row>
    <row r="49" spans="1:13">
      <c r="A49" s="3" t="s">
        <v>59</v>
      </c>
      <c r="B49" s="25">
        <v>46182</v>
      </c>
      <c r="C49" s="3" t="s">
        <v>110</v>
      </c>
      <c r="D49" s="3" t="s">
        <v>95</v>
      </c>
      <c r="E49" s="3" t="s">
        <v>251</v>
      </c>
      <c r="F49" s="3" t="s">
        <v>137</v>
      </c>
      <c r="G49" s="3" t="s">
        <v>50</v>
      </c>
      <c r="H49" s="3" t="s">
        <v>33</v>
      </c>
      <c r="I49" s="3" t="s">
        <v>23</v>
      </c>
      <c r="J49" s="3">
        <v>3</v>
      </c>
      <c r="K49" s="3">
        <v>406</v>
      </c>
      <c r="L49" s="3">
        <v>1218</v>
      </c>
    </row>
    <row r="50" spans="1:13">
      <c r="A50" s="3" t="s">
        <v>291</v>
      </c>
      <c r="B50" s="25">
        <v>46182</v>
      </c>
      <c r="C50" s="3" t="s">
        <v>73</v>
      </c>
      <c r="D50" s="3" t="s">
        <v>44</v>
      </c>
      <c r="E50" s="3" t="s">
        <v>74</v>
      </c>
      <c r="F50" s="3" t="s">
        <v>36</v>
      </c>
      <c r="G50" s="3" t="s">
        <v>41</v>
      </c>
      <c r="H50" s="3" t="s">
        <v>22</v>
      </c>
      <c r="I50" s="3" t="s">
        <v>23</v>
      </c>
      <c r="J50" s="3">
        <v>22</v>
      </c>
      <c r="K50" s="3">
        <v>414</v>
      </c>
      <c r="L50" s="3">
        <v>9108</v>
      </c>
    </row>
    <row r="51" spans="1:13">
      <c r="A51" s="3" t="s">
        <v>256</v>
      </c>
      <c r="B51" s="25">
        <v>46182</v>
      </c>
      <c r="C51" s="3" t="s">
        <v>38</v>
      </c>
      <c r="D51" s="3" t="s">
        <v>139</v>
      </c>
      <c r="E51" s="3" t="s">
        <v>200</v>
      </c>
      <c r="F51" s="3" t="s">
        <v>100</v>
      </c>
      <c r="G51" s="3" t="s">
        <v>21</v>
      </c>
      <c r="H51" s="3" t="s">
        <v>42</v>
      </c>
      <c r="I51" s="3" t="s">
        <v>23</v>
      </c>
      <c r="J51" s="3">
        <v>11</v>
      </c>
      <c r="K51" s="3">
        <v>426</v>
      </c>
      <c r="L51" s="3">
        <v>4686</v>
      </c>
    </row>
    <row r="52" spans="1:13">
      <c r="A52" s="3" t="s">
        <v>230</v>
      </c>
      <c r="B52" s="25">
        <v>46183</v>
      </c>
      <c r="C52" s="3" t="s">
        <v>38</v>
      </c>
      <c r="D52" s="3" t="s">
        <v>139</v>
      </c>
      <c r="E52" s="3" t="s">
        <v>127</v>
      </c>
      <c r="F52" s="3" t="s">
        <v>128</v>
      </c>
      <c r="G52" s="3" t="s">
        <v>41</v>
      </c>
      <c r="H52" s="3" t="s">
        <v>15</v>
      </c>
      <c r="I52" s="3" t="s">
        <v>16</v>
      </c>
      <c r="J52" s="3">
        <v>14</v>
      </c>
      <c r="K52" s="3">
        <v>749</v>
      </c>
      <c r="L52" s="3">
        <v>10486</v>
      </c>
    </row>
    <row r="53" spans="1:13">
      <c r="A53" s="3" t="s">
        <v>230</v>
      </c>
      <c r="B53" s="25">
        <v>46183</v>
      </c>
      <c r="C53" s="3" t="s">
        <v>38</v>
      </c>
      <c r="D53" s="3" t="s">
        <v>139</v>
      </c>
      <c r="E53" s="3" t="s">
        <v>200</v>
      </c>
      <c r="F53" s="3" t="s">
        <v>100</v>
      </c>
      <c r="G53" s="3" t="s">
        <v>21</v>
      </c>
      <c r="H53" s="3" t="s">
        <v>42</v>
      </c>
      <c r="I53" s="3" t="s">
        <v>23</v>
      </c>
      <c r="J53" s="3">
        <v>10</v>
      </c>
      <c r="K53" s="3">
        <v>428</v>
      </c>
      <c r="L53" s="3">
        <v>4280</v>
      </c>
    </row>
    <row r="54" spans="1:13">
      <c r="A54" s="3" t="s">
        <v>230</v>
      </c>
      <c r="B54" s="25">
        <v>46183</v>
      </c>
      <c r="C54" s="3" t="s">
        <v>38</v>
      </c>
      <c r="D54" s="3" t="s">
        <v>139</v>
      </c>
      <c r="E54" s="3" t="s">
        <v>127</v>
      </c>
      <c r="F54" s="3" t="s">
        <v>128</v>
      </c>
      <c r="G54" s="3" t="s">
        <v>41</v>
      </c>
      <c r="H54" s="3" t="s">
        <v>15</v>
      </c>
      <c r="I54" s="3" t="s">
        <v>16</v>
      </c>
      <c r="J54" s="4"/>
      <c r="K54" s="3">
        <v>761</v>
      </c>
      <c r="L54" s="4"/>
      <c r="M54" s="27" t="s">
        <v>334</v>
      </c>
    </row>
    <row r="55" spans="1:13">
      <c r="A55" s="3" t="s">
        <v>230</v>
      </c>
      <c r="B55" s="25">
        <v>46183</v>
      </c>
      <c r="C55" s="3" t="s">
        <v>38</v>
      </c>
      <c r="D55" s="3" t="s">
        <v>139</v>
      </c>
      <c r="E55" s="3" t="s">
        <v>200</v>
      </c>
      <c r="F55" s="3" t="s">
        <v>100</v>
      </c>
      <c r="G55" s="3" t="s">
        <v>21</v>
      </c>
      <c r="H55" s="3" t="s">
        <v>22</v>
      </c>
      <c r="I55" s="3" t="s">
        <v>23</v>
      </c>
      <c r="J55" s="3">
        <v>23</v>
      </c>
      <c r="K55" s="3">
        <v>421</v>
      </c>
      <c r="L55" s="3">
        <v>9683</v>
      </c>
    </row>
    <row r="56" spans="1:13">
      <c r="A56" s="3" t="s">
        <v>280</v>
      </c>
      <c r="B56" s="25">
        <v>46183</v>
      </c>
      <c r="C56" s="3" t="s">
        <v>88</v>
      </c>
      <c r="D56" s="3" t="s">
        <v>25</v>
      </c>
      <c r="E56" s="3" t="s">
        <v>281</v>
      </c>
      <c r="F56" s="3" t="s">
        <v>131</v>
      </c>
      <c r="G56" s="3" t="s">
        <v>32</v>
      </c>
      <c r="H56" s="3" t="s">
        <v>42</v>
      </c>
      <c r="I56" s="3" t="s">
        <v>23</v>
      </c>
      <c r="J56" s="3">
        <v>7</v>
      </c>
      <c r="K56" s="3">
        <v>428</v>
      </c>
      <c r="L56" s="3">
        <v>2996</v>
      </c>
    </row>
    <row r="57" spans="1:13">
      <c r="A57" s="3" t="s">
        <v>280</v>
      </c>
      <c r="B57" s="25">
        <v>46183</v>
      </c>
      <c r="C57" s="3" t="s">
        <v>108</v>
      </c>
      <c r="D57" s="3" t="s">
        <v>44</v>
      </c>
      <c r="E57" s="3" t="s">
        <v>151</v>
      </c>
      <c r="F57" s="3" t="s">
        <v>152</v>
      </c>
      <c r="G57" s="3" t="s">
        <v>50</v>
      </c>
      <c r="H57" s="3" t="s">
        <v>42</v>
      </c>
      <c r="I57" s="3" t="s">
        <v>23</v>
      </c>
      <c r="J57" s="3">
        <v>6</v>
      </c>
      <c r="K57" s="3">
        <v>440</v>
      </c>
      <c r="L57" s="3">
        <v>2640</v>
      </c>
    </row>
    <row r="58" spans="1:13">
      <c r="A58" s="3" t="s">
        <v>192</v>
      </c>
      <c r="B58" s="25">
        <v>46184</v>
      </c>
      <c r="C58" s="3" t="s">
        <v>38</v>
      </c>
      <c r="D58" s="3" t="s">
        <v>139</v>
      </c>
      <c r="E58" s="3" t="s">
        <v>62</v>
      </c>
      <c r="F58" s="3" t="s">
        <v>63</v>
      </c>
      <c r="G58" s="3" t="s">
        <v>14</v>
      </c>
      <c r="H58" s="3" t="s">
        <v>28</v>
      </c>
      <c r="I58" s="3" t="s">
        <v>23</v>
      </c>
      <c r="J58" s="3">
        <v>25</v>
      </c>
      <c r="K58" s="3">
        <v>284</v>
      </c>
      <c r="L58" s="3">
        <v>7100</v>
      </c>
    </row>
    <row r="59" spans="1:13">
      <c r="A59" s="3" t="s">
        <v>231</v>
      </c>
      <c r="B59" s="25">
        <v>46184</v>
      </c>
      <c r="C59" s="3" t="s">
        <v>108</v>
      </c>
      <c r="D59" s="3" t="s">
        <v>44</v>
      </c>
      <c r="E59" s="3" t="s">
        <v>74</v>
      </c>
      <c r="F59" s="3" t="s">
        <v>36</v>
      </c>
      <c r="G59" s="3" t="s">
        <v>41</v>
      </c>
      <c r="H59" s="3" t="s">
        <v>22</v>
      </c>
      <c r="I59" s="3" t="s">
        <v>23</v>
      </c>
      <c r="J59" s="3">
        <v>8</v>
      </c>
      <c r="K59" s="3">
        <v>420</v>
      </c>
      <c r="L59" s="3">
        <v>3360</v>
      </c>
    </row>
    <row r="60" spans="1:13">
      <c r="A60" s="3" t="s">
        <v>192</v>
      </c>
      <c r="B60" s="25">
        <v>46184</v>
      </c>
      <c r="C60" s="3" t="s">
        <v>38</v>
      </c>
      <c r="D60" s="3" t="s">
        <v>139</v>
      </c>
      <c r="E60" s="3" t="s">
        <v>62</v>
      </c>
      <c r="F60" s="3" t="s">
        <v>63</v>
      </c>
      <c r="G60" s="3" t="s">
        <v>14</v>
      </c>
      <c r="H60" s="3" t="s">
        <v>42</v>
      </c>
      <c r="I60" s="3" t="s">
        <v>23</v>
      </c>
      <c r="J60" s="3">
        <v>16</v>
      </c>
      <c r="K60" s="3">
        <v>435</v>
      </c>
      <c r="L60" s="3">
        <v>6960</v>
      </c>
    </row>
    <row r="61" spans="1:13">
      <c r="A61" s="3" t="s">
        <v>192</v>
      </c>
      <c r="B61" s="25">
        <v>46184</v>
      </c>
      <c r="C61" s="3" t="s">
        <v>52</v>
      </c>
      <c r="D61" s="3" t="s">
        <v>25</v>
      </c>
      <c r="E61" s="3" t="s">
        <v>214</v>
      </c>
      <c r="F61" s="3" t="s">
        <v>77</v>
      </c>
      <c r="G61" s="3" t="s">
        <v>21</v>
      </c>
      <c r="H61" s="3" t="s">
        <v>28</v>
      </c>
      <c r="I61" s="3" t="s">
        <v>23</v>
      </c>
      <c r="J61" s="3">
        <v>3</v>
      </c>
      <c r="K61" s="3">
        <v>277</v>
      </c>
      <c r="L61" s="3">
        <v>831</v>
      </c>
    </row>
    <row r="62" spans="1:13">
      <c r="A62" s="3" t="s">
        <v>231</v>
      </c>
      <c r="B62" s="25">
        <v>46184</v>
      </c>
      <c r="C62" s="3" t="s">
        <v>73</v>
      </c>
      <c r="D62" s="3" t="s">
        <v>44</v>
      </c>
      <c r="E62" s="3" t="s">
        <v>186</v>
      </c>
      <c r="F62" s="3" t="s">
        <v>36</v>
      </c>
      <c r="G62" s="3" t="s">
        <v>21</v>
      </c>
      <c r="H62" s="3" t="s">
        <v>22</v>
      </c>
      <c r="I62" s="3" t="s">
        <v>23</v>
      </c>
      <c r="J62" s="3">
        <v>2</v>
      </c>
      <c r="K62" s="3">
        <v>411</v>
      </c>
      <c r="L62" s="3">
        <v>822</v>
      </c>
    </row>
    <row r="63" spans="1:13">
      <c r="A63" s="3" t="s">
        <v>129</v>
      </c>
      <c r="B63" s="25">
        <v>46185</v>
      </c>
      <c r="C63" s="3" t="s">
        <v>18</v>
      </c>
      <c r="D63" s="3" t="s">
        <v>95</v>
      </c>
      <c r="E63" s="3" t="s">
        <v>130</v>
      </c>
      <c r="F63" s="3" t="s">
        <v>131</v>
      </c>
      <c r="G63" s="3" t="s">
        <v>50</v>
      </c>
      <c r="H63" s="3" t="s">
        <v>28</v>
      </c>
      <c r="I63" s="3" t="s">
        <v>23</v>
      </c>
      <c r="J63" s="3">
        <v>17</v>
      </c>
      <c r="K63" s="3">
        <v>296</v>
      </c>
      <c r="L63" s="3">
        <v>5032</v>
      </c>
    </row>
    <row r="64" spans="1:13">
      <c r="A64" s="3" t="s">
        <v>133</v>
      </c>
      <c r="B64" s="25">
        <v>46185</v>
      </c>
      <c r="C64" s="3" t="s">
        <v>95</v>
      </c>
      <c r="D64" s="3" t="s">
        <v>95</v>
      </c>
      <c r="E64" s="3" t="s">
        <v>96</v>
      </c>
      <c r="F64" s="3" t="s">
        <v>97</v>
      </c>
      <c r="G64" s="3" t="s">
        <v>21</v>
      </c>
      <c r="H64" s="3" t="s">
        <v>33</v>
      </c>
      <c r="I64" s="3" t="s">
        <v>23</v>
      </c>
      <c r="J64" s="3">
        <v>8</v>
      </c>
      <c r="K64" s="3">
        <v>401</v>
      </c>
      <c r="L64" s="3">
        <v>3208</v>
      </c>
    </row>
    <row r="65" spans="1:12">
      <c r="A65" s="3" t="s">
        <v>133</v>
      </c>
      <c r="B65" s="25">
        <v>46185</v>
      </c>
      <c r="C65" s="3" t="s">
        <v>52</v>
      </c>
      <c r="D65" s="3" t="s">
        <v>25</v>
      </c>
      <c r="E65" s="3" t="s">
        <v>169</v>
      </c>
      <c r="F65" s="3" t="s">
        <v>71</v>
      </c>
      <c r="G65" s="3" t="s">
        <v>32</v>
      </c>
      <c r="H65" s="3" t="s">
        <v>42</v>
      </c>
      <c r="I65" s="3" t="s">
        <v>23</v>
      </c>
      <c r="J65" s="3">
        <v>25</v>
      </c>
      <c r="K65" s="3">
        <v>438</v>
      </c>
      <c r="L65" s="3">
        <v>10950</v>
      </c>
    </row>
    <row r="66" spans="1:12">
      <c r="A66" s="3" t="s">
        <v>173</v>
      </c>
      <c r="B66" s="25">
        <v>46186</v>
      </c>
      <c r="C66" s="3" t="s">
        <v>120</v>
      </c>
      <c r="D66" s="3" t="s">
        <v>120</v>
      </c>
      <c r="E66" s="3" t="s">
        <v>68</v>
      </c>
      <c r="F66" s="3" t="s">
        <v>36</v>
      </c>
      <c r="G66" s="3" t="s">
        <v>50</v>
      </c>
      <c r="H66" s="3" t="s">
        <v>22</v>
      </c>
      <c r="I66" s="3" t="s">
        <v>23</v>
      </c>
      <c r="J66" s="3">
        <v>17</v>
      </c>
      <c r="K66" s="3">
        <v>409</v>
      </c>
      <c r="L66" s="3">
        <v>6953</v>
      </c>
    </row>
    <row r="67" spans="1:12">
      <c r="A67" s="3" t="s">
        <v>173</v>
      </c>
      <c r="B67" s="25">
        <v>46186</v>
      </c>
      <c r="C67" s="3" t="s">
        <v>30</v>
      </c>
      <c r="D67" s="3" t="s">
        <v>44</v>
      </c>
      <c r="E67" s="3" t="s">
        <v>186</v>
      </c>
      <c r="F67" s="3" t="s">
        <v>36</v>
      </c>
      <c r="G67" s="3" t="s">
        <v>21</v>
      </c>
      <c r="H67" s="3" t="s">
        <v>42</v>
      </c>
      <c r="I67" s="3" t="s">
        <v>23</v>
      </c>
      <c r="J67" s="3">
        <v>15</v>
      </c>
      <c r="K67" s="3">
        <v>432</v>
      </c>
      <c r="L67" s="3">
        <v>6480</v>
      </c>
    </row>
    <row r="68" spans="1:12">
      <c r="A68" s="3" t="s">
        <v>173</v>
      </c>
      <c r="B68" s="25">
        <v>46186</v>
      </c>
      <c r="C68" s="3" t="s">
        <v>38</v>
      </c>
      <c r="D68" s="3" t="s">
        <v>139</v>
      </c>
      <c r="E68" s="3" t="s">
        <v>127</v>
      </c>
      <c r="F68" s="3" t="s">
        <v>128</v>
      </c>
      <c r="G68" s="3" t="s">
        <v>41</v>
      </c>
      <c r="H68" s="3" t="s">
        <v>58</v>
      </c>
      <c r="I68" s="3" t="s">
        <v>23</v>
      </c>
      <c r="J68" s="3">
        <v>4</v>
      </c>
      <c r="K68" s="3">
        <v>468</v>
      </c>
      <c r="L68" s="3">
        <v>1872</v>
      </c>
    </row>
    <row r="69" spans="1:12">
      <c r="A69" s="3" t="s">
        <v>173</v>
      </c>
      <c r="B69" s="25">
        <v>46186</v>
      </c>
      <c r="C69" s="3" t="s">
        <v>11</v>
      </c>
      <c r="D69" s="3" t="s">
        <v>120</v>
      </c>
      <c r="E69" s="3" t="s">
        <v>258</v>
      </c>
      <c r="F69" s="3" t="s">
        <v>100</v>
      </c>
      <c r="G69" s="3" t="s">
        <v>41</v>
      </c>
      <c r="H69" s="3" t="s">
        <v>15</v>
      </c>
      <c r="I69" s="3" t="s">
        <v>16</v>
      </c>
      <c r="J69" s="3">
        <v>15</v>
      </c>
      <c r="K69" s="3">
        <v>753</v>
      </c>
      <c r="L69" s="3">
        <v>11295</v>
      </c>
    </row>
    <row r="70" spans="1:12">
      <c r="A70" s="3" t="s">
        <v>293</v>
      </c>
      <c r="B70" s="25">
        <v>46186</v>
      </c>
      <c r="C70" s="3" t="s">
        <v>88</v>
      </c>
      <c r="D70" s="3" t="s">
        <v>25</v>
      </c>
      <c r="E70" s="3" t="s">
        <v>89</v>
      </c>
      <c r="F70" s="3" t="s">
        <v>90</v>
      </c>
      <c r="G70" s="3" t="s">
        <v>50</v>
      </c>
      <c r="H70" s="3" t="s">
        <v>33</v>
      </c>
      <c r="I70" s="3" t="s">
        <v>23</v>
      </c>
      <c r="J70" s="3">
        <v>7</v>
      </c>
      <c r="K70" s="3">
        <v>402</v>
      </c>
      <c r="L70" s="3">
        <v>2814</v>
      </c>
    </row>
    <row r="71" spans="1:12">
      <c r="A71" s="3" t="s">
        <v>222</v>
      </c>
      <c r="B71" s="25">
        <v>46187</v>
      </c>
      <c r="C71" s="3" t="s">
        <v>139</v>
      </c>
      <c r="D71" s="3" t="s">
        <v>139</v>
      </c>
      <c r="E71" s="3" t="s">
        <v>223</v>
      </c>
      <c r="F71" s="3" t="s">
        <v>66</v>
      </c>
      <c r="G71" s="3" t="s">
        <v>14</v>
      </c>
      <c r="H71" s="3" t="s">
        <v>15</v>
      </c>
      <c r="I71" s="3" t="s">
        <v>16</v>
      </c>
      <c r="J71" s="3">
        <v>8</v>
      </c>
      <c r="K71" s="3">
        <v>764</v>
      </c>
      <c r="L71" s="3">
        <v>6112</v>
      </c>
    </row>
    <row r="72" spans="1:12">
      <c r="A72" s="3" t="s">
        <v>222</v>
      </c>
      <c r="B72" s="25">
        <v>46187</v>
      </c>
      <c r="C72" s="3" t="s">
        <v>110</v>
      </c>
      <c r="D72" s="3" t="s">
        <v>95</v>
      </c>
      <c r="E72" s="3" t="s">
        <v>294</v>
      </c>
      <c r="F72" s="3" t="s">
        <v>71</v>
      </c>
      <c r="G72" s="3" t="s">
        <v>14</v>
      </c>
      <c r="H72" s="3" t="s">
        <v>28</v>
      </c>
      <c r="I72" s="3" t="s">
        <v>23</v>
      </c>
      <c r="J72" s="3">
        <v>22</v>
      </c>
      <c r="K72" s="3">
        <v>289</v>
      </c>
      <c r="L72" s="3">
        <v>6358</v>
      </c>
    </row>
    <row r="73" spans="1:12">
      <c r="A73" s="3" t="s">
        <v>222</v>
      </c>
      <c r="B73" s="25">
        <v>46187</v>
      </c>
      <c r="C73" s="3" t="s">
        <v>44</v>
      </c>
      <c r="D73" s="3" t="s">
        <v>44</v>
      </c>
      <c r="E73" s="3" t="s">
        <v>276</v>
      </c>
      <c r="F73" s="3" t="s">
        <v>164</v>
      </c>
      <c r="G73" s="3" t="s">
        <v>32</v>
      </c>
      <c r="H73" s="3" t="s">
        <v>58</v>
      </c>
      <c r="I73" s="3" t="s">
        <v>23</v>
      </c>
      <c r="J73" s="3">
        <v>9</v>
      </c>
      <c r="K73" s="3">
        <v>477</v>
      </c>
      <c r="L73" s="3">
        <v>4293</v>
      </c>
    </row>
    <row r="74" spans="1:12">
      <c r="A74" s="3" t="s">
        <v>222</v>
      </c>
      <c r="B74" s="25">
        <v>46187</v>
      </c>
      <c r="C74" s="3" t="s">
        <v>44</v>
      </c>
      <c r="D74" s="3" t="s">
        <v>44</v>
      </c>
      <c r="E74" s="3" t="s">
        <v>299</v>
      </c>
      <c r="F74" s="3" t="s">
        <v>300</v>
      </c>
      <c r="G74" s="3" t="s">
        <v>50</v>
      </c>
      <c r="H74" s="3" t="s">
        <v>15</v>
      </c>
      <c r="I74" s="3" t="s">
        <v>16</v>
      </c>
      <c r="J74" s="3">
        <v>1</v>
      </c>
      <c r="K74" s="3">
        <v>742</v>
      </c>
      <c r="L74" s="3">
        <v>742</v>
      </c>
    </row>
    <row r="75" spans="1:12">
      <c r="A75" s="3" t="s">
        <v>72</v>
      </c>
      <c r="B75" s="25">
        <v>46188</v>
      </c>
      <c r="C75" s="3" t="s">
        <v>73</v>
      </c>
      <c r="D75" s="3" t="s">
        <v>44</v>
      </c>
      <c r="E75" s="3" t="s">
        <v>74</v>
      </c>
      <c r="F75" s="3" t="s">
        <v>36</v>
      </c>
      <c r="G75" s="3" t="s">
        <v>41</v>
      </c>
      <c r="H75" s="3" t="s">
        <v>28</v>
      </c>
      <c r="I75" s="3" t="s">
        <v>23</v>
      </c>
      <c r="J75" s="3">
        <v>12</v>
      </c>
      <c r="K75" s="3">
        <v>281</v>
      </c>
      <c r="L75" s="3">
        <v>3372</v>
      </c>
    </row>
    <row r="76" spans="1:12">
      <c r="A76" s="3" t="s">
        <v>98</v>
      </c>
      <c r="B76" s="25">
        <v>46188</v>
      </c>
      <c r="C76" s="3" t="s">
        <v>88</v>
      </c>
      <c r="D76" s="3" t="s">
        <v>25</v>
      </c>
      <c r="E76" s="3" t="s">
        <v>99</v>
      </c>
      <c r="F76" s="3" t="s">
        <v>100</v>
      </c>
      <c r="G76" s="3" t="s">
        <v>14</v>
      </c>
      <c r="H76" s="3" t="s">
        <v>42</v>
      </c>
      <c r="I76" s="3" t="s">
        <v>23</v>
      </c>
      <c r="J76" s="3">
        <v>15</v>
      </c>
      <c r="K76" s="3">
        <v>427</v>
      </c>
      <c r="L76" s="3">
        <v>6405</v>
      </c>
    </row>
    <row r="77" spans="1:12">
      <c r="A77" s="3" t="s">
        <v>213</v>
      </c>
      <c r="B77" s="25">
        <v>46188</v>
      </c>
      <c r="C77" s="3" t="s">
        <v>52</v>
      </c>
      <c r="D77" s="3" t="s">
        <v>25</v>
      </c>
      <c r="E77" s="3" t="s">
        <v>214</v>
      </c>
      <c r="F77" s="3" t="s">
        <v>77</v>
      </c>
      <c r="G77" s="3" t="s">
        <v>21</v>
      </c>
      <c r="H77" s="3" t="s">
        <v>15</v>
      </c>
      <c r="I77" s="3" t="s">
        <v>16</v>
      </c>
      <c r="J77" s="3">
        <v>2</v>
      </c>
      <c r="K77" s="3">
        <v>748</v>
      </c>
      <c r="L77" s="3">
        <v>1496</v>
      </c>
    </row>
    <row r="78" spans="1:12">
      <c r="A78" s="3" t="s">
        <v>98</v>
      </c>
      <c r="B78" s="25">
        <v>46188</v>
      </c>
      <c r="C78" s="3" t="s">
        <v>108</v>
      </c>
      <c r="D78" s="3" t="s">
        <v>44</v>
      </c>
      <c r="E78" s="3" t="s">
        <v>282</v>
      </c>
      <c r="F78" s="3" t="s">
        <v>131</v>
      </c>
      <c r="G78" s="3" t="s">
        <v>41</v>
      </c>
      <c r="H78" s="3" t="s">
        <v>22</v>
      </c>
      <c r="I78" s="3" t="s">
        <v>23</v>
      </c>
      <c r="J78" s="3">
        <v>9</v>
      </c>
      <c r="K78" s="3">
        <v>418</v>
      </c>
      <c r="L78" s="3">
        <v>3762</v>
      </c>
    </row>
    <row r="79" spans="1:12">
      <c r="A79" s="3" t="s">
        <v>72</v>
      </c>
      <c r="B79" s="25">
        <v>46188</v>
      </c>
      <c r="C79" s="3" t="s">
        <v>95</v>
      </c>
      <c r="D79" s="3" t="s">
        <v>95</v>
      </c>
      <c r="E79" s="3" t="s">
        <v>251</v>
      </c>
      <c r="F79" s="3" t="s">
        <v>137</v>
      </c>
      <c r="G79" s="3" t="s">
        <v>50</v>
      </c>
      <c r="H79" s="3" t="s">
        <v>22</v>
      </c>
      <c r="I79" s="3" t="s">
        <v>23</v>
      </c>
      <c r="J79" s="3">
        <v>23</v>
      </c>
      <c r="K79" s="3">
        <v>395</v>
      </c>
      <c r="L79" s="3">
        <v>9085</v>
      </c>
    </row>
    <row r="80" spans="1:12">
      <c r="A80" s="3" t="s">
        <v>236</v>
      </c>
      <c r="B80" s="25">
        <v>46189</v>
      </c>
      <c r="C80" s="3" t="s">
        <v>30</v>
      </c>
      <c r="D80" s="3" t="s">
        <v>44</v>
      </c>
      <c r="E80" s="3" t="s">
        <v>210</v>
      </c>
      <c r="F80" s="3" t="s">
        <v>131</v>
      </c>
      <c r="G80" s="3" t="s">
        <v>32</v>
      </c>
      <c r="H80" s="3" t="s">
        <v>22</v>
      </c>
      <c r="I80" s="3" t="s">
        <v>23</v>
      </c>
      <c r="J80" s="3">
        <v>18</v>
      </c>
      <c r="K80" s="3">
        <v>424</v>
      </c>
      <c r="L80" s="3">
        <v>7632</v>
      </c>
    </row>
    <row r="81" spans="1:12">
      <c r="A81" s="3" t="s">
        <v>236</v>
      </c>
      <c r="B81" s="25">
        <v>46189</v>
      </c>
      <c r="C81" s="3" t="s">
        <v>30</v>
      </c>
      <c r="D81" s="3" t="s">
        <v>44</v>
      </c>
      <c r="E81" s="3" t="s">
        <v>186</v>
      </c>
      <c r="F81" s="3" t="s">
        <v>36</v>
      </c>
      <c r="G81" s="3" t="s">
        <v>21</v>
      </c>
      <c r="H81" s="3" t="s">
        <v>33</v>
      </c>
      <c r="I81" s="3" t="s">
        <v>23</v>
      </c>
      <c r="J81" s="3">
        <v>13</v>
      </c>
      <c r="K81" s="3">
        <v>385</v>
      </c>
      <c r="L81" s="3">
        <v>5005</v>
      </c>
    </row>
    <row r="82" spans="1:12">
      <c r="A82" s="3" t="s">
        <v>319</v>
      </c>
      <c r="B82" s="25">
        <v>46189</v>
      </c>
      <c r="C82" s="3" t="s">
        <v>120</v>
      </c>
      <c r="D82" s="3" t="s">
        <v>120</v>
      </c>
      <c r="E82" s="3" t="s">
        <v>258</v>
      </c>
      <c r="F82" s="3" t="s">
        <v>100</v>
      </c>
      <c r="G82" s="3" t="s">
        <v>41</v>
      </c>
      <c r="H82" s="3" t="s">
        <v>28</v>
      </c>
      <c r="I82" s="3" t="s">
        <v>23</v>
      </c>
      <c r="J82" s="3">
        <v>15</v>
      </c>
      <c r="K82" s="3">
        <v>300</v>
      </c>
      <c r="L82" s="3">
        <v>4500</v>
      </c>
    </row>
    <row r="83" spans="1:12">
      <c r="A83" s="3" t="s">
        <v>236</v>
      </c>
      <c r="B83" s="25">
        <v>46189</v>
      </c>
      <c r="C83" s="3" t="s">
        <v>139</v>
      </c>
      <c r="D83" s="3" t="s">
        <v>139</v>
      </c>
      <c r="E83" s="3" t="s">
        <v>39</v>
      </c>
      <c r="F83" s="3" t="s">
        <v>40</v>
      </c>
      <c r="G83" s="3" t="s">
        <v>41</v>
      </c>
      <c r="H83" s="3" t="s">
        <v>22</v>
      </c>
      <c r="I83" s="3" t="s">
        <v>23</v>
      </c>
      <c r="J83" s="3">
        <v>1</v>
      </c>
      <c r="K83" s="3">
        <v>414</v>
      </c>
      <c r="L83" s="3">
        <v>414</v>
      </c>
    </row>
    <row r="84" spans="1:12">
      <c r="A84" s="3" t="s">
        <v>34</v>
      </c>
      <c r="B84" s="25">
        <v>46190</v>
      </c>
      <c r="C84" s="3" t="s">
        <v>11</v>
      </c>
      <c r="D84" s="3" t="s">
        <v>120</v>
      </c>
      <c r="E84" s="3" t="s">
        <v>35</v>
      </c>
      <c r="F84" s="3" t="s">
        <v>36</v>
      </c>
      <c r="G84" s="3" t="s">
        <v>14</v>
      </c>
      <c r="H84" s="3" t="s">
        <v>33</v>
      </c>
      <c r="I84" s="3" t="s">
        <v>23</v>
      </c>
      <c r="J84" s="3">
        <v>15</v>
      </c>
      <c r="K84" s="3">
        <v>385</v>
      </c>
      <c r="L84" s="3">
        <v>5775</v>
      </c>
    </row>
    <row r="85" spans="1:12">
      <c r="A85" s="3" t="s">
        <v>34</v>
      </c>
      <c r="B85" s="25">
        <v>46190</v>
      </c>
      <c r="C85" s="3" t="s">
        <v>73</v>
      </c>
      <c r="D85" s="3" t="s">
        <v>44</v>
      </c>
      <c r="E85" s="3" t="s">
        <v>151</v>
      </c>
      <c r="F85" s="3" t="s">
        <v>152</v>
      </c>
      <c r="G85" s="3" t="s">
        <v>50</v>
      </c>
      <c r="H85" s="3" t="s">
        <v>22</v>
      </c>
      <c r="I85" s="3" t="s">
        <v>23</v>
      </c>
      <c r="J85" s="3">
        <v>7</v>
      </c>
      <c r="K85" s="3">
        <v>419</v>
      </c>
      <c r="L85" s="3">
        <v>2933</v>
      </c>
    </row>
    <row r="86" spans="1:12">
      <c r="A86" s="3" t="s">
        <v>64</v>
      </c>
      <c r="B86" s="25">
        <v>46191</v>
      </c>
      <c r="C86" s="3" t="s">
        <v>18</v>
      </c>
      <c r="D86" s="3" t="s">
        <v>95</v>
      </c>
      <c r="E86" s="3" t="s">
        <v>65</v>
      </c>
      <c r="F86" s="3" t="s">
        <v>66</v>
      </c>
      <c r="G86" s="3" t="s">
        <v>41</v>
      </c>
      <c r="H86" s="3" t="s">
        <v>22</v>
      </c>
      <c r="I86" s="3" t="s">
        <v>23</v>
      </c>
      <c r="J86" s="3">
        <v>9</v>
      </c>
      <c r="K86" s="3">
        <v>401</v>
      </c>
      <c r="L86" s="3">
        <v>3609</v>
      </c>
    </row>
    <row r="87" spans="1:12">
      <c r="A87" s="3" t="s">
        <v>64</v>
      </c>
      <c r="B87" s="25">
        <v>46191</v>
      </c>
      <c r="C87" s="3" t="s">
        <v>108</v>
      </c>
      <c r="D87" s="3" t="s">
        <v>44</v>
      </c>
      <c r="E87" s="3" t="s">
        <v>174</v>
      </c>
      <c r="F87" s="3" t="s">
        <v>46</v>
      </c>
      <c r="G87" s="3" t="s">
        <v>21</v>
      </c>
      <c r="H87" s="3" t="s">
        <v>42</v>
      </c>
      <c r="I87" s="3" t="s">
        <v>23</v>
      </c>
      <c r="J87" s="3">
        <v>17</v>
      </c>
      <c r="K87" s="3">
        <v>439</v>
      </c>
      <c r="L87" s="3">
        <v>7463</v>
      </c>
    </row>
    <row r="88" spans="1:12">
      <c r="A88" s="3" t="s">
        <v>64</v>
      </c>
      <c r="B88" s="25">
        <v>46191</v>
      </c>
      <c r="C88" s="3" t="s">
        <v>110</v>
      </c>
      <c r="D88" s="3" t="s">
        <v>95</v>
      </c>
      <c r="E88" s="3" t="s">
        <v>251</v>
      </c>
      <c r="F88" s="3" t="s">
        <v>137</v>
      </c>
      <c r="G88" s="3" t="s">
        <v>50</v>
      </c>
      <c r="H88" s="3" t="s">
        <v>15</v>
      </c>
      <c r="I88" s="3" t="s">
        <v>16</v>
      </c>
      <c r="J88" s="3">
        <v>14</v>
      </c>
      <c r="K88" s="3">
        <v>744</v>
      </c>
      <c r="L88" s="3">
        <v>10416</v>
      </c>
    </row>
    <row r="89" spans="1:12">
      <c r="A89" s="3" t="s">
        <v>170</v>
      </c>
      <c r="B89" s="25">
        <v>46192</v>
      </c>
      <c r="C89" s="3" t="s">
        <v>30</v>
      </c>
      <c r="D89" s="3" t="s">
        <v>44</v>
      </c>
      <c r="E89" s="3" t="s">
        <v>60</v>
      </c>
      <c r="F89" s="3" t="s">
        <v>49</v>
      </c>
      <c r="G89" s="3" t="s">
        <v>32</v>
      </c>
      <c r="H89" s="3" t="s">
        <v>33</v>
      </c>
      <c r="I89" s="3" t="s">
        <v>23</v>
      </c>
      <c r="J89" s="3">
        <v>1</v>
      </c>
      <c r="K89" s="3">
        <v>385</v>
      </c>
      <c r="L89" s="3">
        <v>385</v>
      </c>
    </row>
    <row r="90" spans="1:12">
      <c r="A90" s="3" t="s">
        <v>170</v>
      </c>
      <c r="B90" s="25">
        <v>46192</v>
      </c>
      <c r="C90" s="3" t="s">
        <v>110</v>
      </c>
      <c r="D90" s="3" t="s">
        <v>95</v>
      </c>
      <c r="E90" s="3" t="s">
        <v>271</v>
      </c>
      <c r="F90" s="3" t="s">
        <v>103</v>
      </c>
      <c r="G90" s="3" t="s">
        <v>41</v>
      </c>
      <c r="H90" s="3" t="s">
        <v>58</v>
      </c>
      <c r="I90" s="3" t="s">
        <v>23</v>
      </c>
      <c r="J90" s="3">
        <v>2</v>
      </c>
      <c r="K90" s="3">
        <v>463</v>
      </c>
      <c r="L90" s="3">
        <v>926</v>
      </c>
    </row>
    <row r="91" spans="1:12">
      <c r="A91" s="3" t="s">
        <v>277</v>
      </c>
      <c r="B91" s="25">
        <v>46192</v>
      </c>
      <c r="C91" s="3" t="s">
        <v>120</v>
      </c>
      <c r="D91" s="3" t="s">
        <v>120</v>
      </c>
      <c r="E91" s="3" t="s">
        <v>278</v>
      </c>
      <c r="F91" s="3" t="s">
        <v>242</v>
      </c>
      <c r="G91" s="3" t="s">
        <v>32</v>
      </c>
      <c r="H91" s="3" t="s">
        <v>22</v>
      </c>
      <c r="I91" s="3" t="s">
        <v>23</v>
      </c>
      <c r="J91" s="3">
        <v>20</v>
      </c>
      <c r="K91" s="3">
        <v>398</v>
      </c>
      <c r="L91" s="3">
        <v>7960</v>
      </c>
    </row>
    <row r="92" spans="1:12">
      <c r="A92" s="3" t="s">
        <v>277</v>
      </c>
      <c r="B92" s="25">
        <v>46192</v>
      </c>
      <c r="C92" s="3" t="s">
        <v>11</v>
      </c>
      <c r="D92" s="3" t="s">
        <v>120</v>
      </c>
      <c r="E92" s="3" t="s">
        <v>258</v>
      </c>
      <c r="F92" s="3" t="s">
        <v>100</v>
      </c>
      <c r="G92" s="3" t="s">
        <v>41</v>
      </c>
      <c r="H92" s="3" t="s">
        <v>42</v>
      </c>
      <c r="I92" s="3" t="s">
        <v>23</v>
      </c>
      <c r="J92" s="3">
        <v>22</v>
      </c>
      <c r="K92" s="3">
        <v>414</v>
      </c>
      <c r="L92" s="3">
        <v>9108</v>
      </c>
    </row>
    <row r="93" spans="1:12">
      <c r="A93" s="3" t="s">
        <v>126</v>
      </c>
      <c r="B93" s="25">
        <v>46193</v>
      </c>
      <c r="C93" s="3" t="s">
        <v>88</v>
      </c>
      <c r="D93" s="3" t="s">
        <v>25</v>
      </c>
      <c r="E93" s="3" t="s">
        <v>53</v>
      </c>
      <c r="F93" s="3" t="s">
        <v>54</v>
      </c>
      <c r="G93" s="3" t="s">
        <v>50</v>
      </c>
      <c r="H93" s="3" t="s">
        <v>28</v>
      </c>
      <c r="I93" s="3" t="s">
        <v>23</v>
      </c>
      <c r="J93" s="3">
        <v>25</v>
      </c>
      <c r="K93" s="3">
        <v>283</v>
      </c>
      <c r="L93" s="3">
        <v>7075</v>
      </c>
    </row>
    <row r="94" spans="1:12">
      <c r="A94" s="3" t="s">
        <v>126</v>
      </c>
      <c r="B94" s="25">
        <v>46193</v>
      </c>
      <c r="C94" s="3" t="s">
        <v>25</v>
      </c>
      <c r="D94" s="3" t="s">
        <v>25</v>
      </c>
      <c r="E94" s="3" t="s">
        <v>89</v>
      </c>
      <c r="F94" s="3" t="s">
        <v>90</v>
      </c>
      <c r="G94" s="3" t="s">
        <v>50</v>
      </c>
      <c r="H94" s="3" t="s">
        <v>58</v>
      </c>
      <c r="I94" s="3" t="s">
        <v>23</v>
      </c>
      <c r="J94" s="3">
        <v>24</v>
      </c>
      <c r="K94" s="3">
        <v>474</v>
      </c>
      <c r="L94" s="3">
        <v>11376</v>
      </c>
    </row>
    <row r="95" spans="1:12">
      <c r="A95" s="3" t="s">
        <v>266</v>
      </c>
      <c r="B95" s="25">
        <v>46193</v>
      </c>
      <c r="C95" s="3" t="s">
        <v>44</v>
      </c>
      <c r="D95" s="3" t="s">
        <v>44</v>
      </c>
      <c r="E95" s="3" t="s">
        <v>79</v>
      </c>
      <c r="F95" s="3" t="s">
        <v>80</v>
      </c>
      <c r="G95" s="3" t="s">
        <v>32</v>
      </c>
      <c r="H95" s="3" t="s">
        <v>33</v>
      </c>
      <c r="I95" s="3" t="s">
        <v>23</v>
      </c>
      <c r="J95" s="3">
        <v>17</v>
      </c>
      <c r="K95" s="3">
        <v>397</v>
      </c>
      <c r="L95" s="3">
        <v>6749</v>
      </c>
    </row>
    <row r="96" spans="1:12">
      <c r="A96" s="3" t="s">
        <v>272</v>
      </c>
      <c r="B96" s="25">
        <v>46193</v>
      </c>
      <c r="C96" s="3" t="s">
        <v>44</v>
      </c>
      <c r="D96" s="3" t="s">
        <v>44</v>
      </c>
      <c r="E96" s="3" t="s">
        <v>273</v>
      </c>
      <c r="F96" s="3" t="s">
        <v>71</v>
      </c>
      <c r="G96" s="3" t="s">
        <v>41</v>
      </c>
      <c r="H96" s="3" t="s">
        <v>42</v>
      </c>
      <c r="I96" s="3" t="s">
        <v>23</v>
      </c>
      <c r="J96" s="3">
        <v>22</v>
      </c>
      <c r="K96" s="3">
        <v>422</v>
      </c>
      <c r="L96" s="3">
        <v>9284</v>
      </c>
    </row>
    <row r="97" spans="1:12">
      <c r="A97" s="3" t="s">
        <v>266</v>
      </c>
      <c r="B97" s="25">
        <v>46193</v>
      </c>
      <c r="C97" s="3" t="s">
        <v>44</v>
      </c>
      <c r="D97" s="3" t="s">
        <v>44</v>
      </c>
      <c r="E97" s="3" t="s">
        <v>224</v>
      </c>
      <c r="F97" s="3" t="s">
        <v>106</v>
      </c>
      <c r="G97" s="3" t="s">
        <v>41</v>
      </c>
      <c r="H97" s="3" t="s">
        <v>28</v>
      </c>
      <c r="I97" s="3" t="s">
        <v>23</v>
      </c>
      <c r="J97" s="3">
        <v>2</v>
      </c>
      <c r="K97" s="3">
        <v>287</v>
      </c>
      <c r="L97" s="3">
        <v>574</v>
      </c>
    </row>
    <row r="98" spans="1:12">
      <c r="A98" s="3" t="s">
        <v>275</v>
      </c>
      <c r="B98" s="25">
        <v>46194</v>
      </c>
      <c r="C98" s="3" t="s">
        <v>30</v>
      </c>
      <c r="D98" s="3" t="s">
        <v>44</v>
      </c>
      <c r="E98" s="3" t="s">
        <v>79</v>
      </c>
      <c r="F98" s="3" t="s">
        <v>80</v>
      </c>
      <c r="G98" s="3" t="s">
        <v>32</v>
      </c>
      <c r="H98" s="3" t="s">
        <v>58</v>
      </c>
      <c r="I98" s="3" t="s">
        <v>23</v>
      </c>
      <c r="J98" s="3">
        <v>22</v>
      </c>
      <c r="K98" s="3">
        <v>452</v>
      </c>
      <c r="L98" s="3">
        <v>9944</v>
      </c>
    </row>
    <row r="99" spans="1:12">
      <c r="A99" s="3" t="s">
        <v>306</v>
      </c>
      <c r="B99" s="25">
        <v>46194</v>
      </c>
      <c r="C99" s="3" t="s">
        <v>139</v>
      </c>
      <c r="D99" s="3" t="s">
        <v>139</v>
      </c>
      <c r="E99" s="3" t="s">
        <v>297</v>
      </c>
      <c r="F99" s="3" t="s">
        <v>106</v>
      </c>
      <c r="G99" s="3" t="s">
        <v>50</v>
      </c>
      <c r="H99" s="3" t="s">
        <v>28</v>
      </c>
      <c r="I99" s="3" t="s">
        <v>23</v>
      </c>
      <c r="J99" s="3">
        <v>25</v>
      </c>
      <c r="K99" s="3">
        <v>287</v>
      </c>
      <c r="L99" s="3">
        <v>7175</v>
      </c>
    </row>
    <row r="100" spans="1:12">
      <c r="A100" s="3" t="s">
        <v>84</v>
      </c>
      <c r="B100" s="25">
        <v>46195</v>
      </c>
      <c r="C100" s="3" t="s">
        <v>11</v>
      </c>
      <c r="D100" s="3" t="s">
        <v>120</v>
      </c>
      <c r="E100" s="3" t="s">
        <v>85</v>
      </c>
      <c r="F100" s="3" t="s">
        <v>86</v>
      </c>
      <c r="G100" s="3" t="s">
        <v>32</v>
      </c>
      <c r="H100" s="3" t="s">
        <v>28</v>
      </c>
      <c r="I100" s="3" t="s">
        <v>23</v>
      </c>
      <c r="J100" s="3">
        <v>12</v>
      </c>
      <c r="K100" s="3">
        <v>286</v>
      </c>
      <c r="L100" s="3">
        <v>3432</v>
      </c>
    </row>
    <row r="101" spans="1:12">
      <c r="A101" s="3" t="s">
        <v>84</v>
      </c>
      <c r="B101" s="25">
        <v>46195</v>
      </c>
      <c r="C101" s="3" t="s">
        <v>38</v>
      </c>
      <c r="D101" s="3" t="s">
        <v>139</v>
      </c>
      <c r="E101" s="3" t="s">
        <v>127</v>
      </c>
      <c r="F101" s="3" t="s">
        <v>128</v>
      </c>
      <c r="G101" s="3" t="s">
        <v>41</v>
      </c>
      <c r="H101" s="3" t="s">
        <v>28</v>
      </c>
      <c r="I101" s="3" t="s">
        <v>23</v>
      </c>
      <c r="J101" s="3">
        <v>6</v>
      </c>
      <c r="K101" s="3">
        <v>300</v>
      </c>
      <c r="L101" s="3">
        <v>1800</v>
      </c>
    </row>
    <row r="102" spans="1:12">
      <c r="A102" s="3" t="s">
        <v>145</v>
      </c>
      <c r="B102" s="25">
        <v>46195</v>
      </c>
      <c r="C102" s="3" t="s">
        <v>30</v>
      </c>
      <c r="D102" s="3" t="s">
        <v>44</v>
      </c>
      <c r="E102" s="3" t="s">
        <v>70</v>
      </c>
      <c r="F102" s="3" t="s">
        <v>71</v>
      </c>
      <c r="G102" s="3" t="s">
        <v>50</v>
      </c>
      <c r="H102" s="3" t="s">
        <v>58</v>
      </c>
      <c r="I102" s="3" t="s">
        <v>23</v>
      </c>
      <c r="J102" s="3">
        <v>18</v>
      </c>
      <c r="K102" s="3">
        <v>466</v>
      </c>
      <c r="L102" s="3">
        <v>8388</v>
      </c>
    </row>
    <row r="103" spans="1:12">
      <c r="A103" s="3" t="s">
        <v>162</v>
      </c>
      <c r="B103" s="25">
        <v>46195</v>
      </c>
      <c r="C103" s="3" t="s">
        <v>88</v>
      </c>
      <c r="D103" s="3" t="s">
        <v>25</v>
      </c>
      <c r="E103" s="3" t="s">
        <v>163</v>
      </c>
      <c r="F103" s="3" t="s">
        <v>164</v>
      </c>
      <c r="G103" s="3" t="s">
        <v>32</v>
      </c>
      <c r="H103" s="3" t="s">
        <v>58</v>
      </c>
      <c r="I103" s="3" t="s">
        <v>23</v>
      </c>
      <c r="J103" s="3">
        <v>10</v>
      </c>
      <c r="K103" s="3">
        <v>470</v>
      </c>
      <c r="L103" s="3">
        <v>4700</v>
      </c>
    </row>
    <row r="104" spans="1:12">
      <c r="A104" s="3" t="s">
        <v>145</v>
      </c>
      <c r="B104" s="25">
        <v>46195</v>
      </c>
      <c r="C104" s="3" t="s">
        <v>25</v>
      </c>
      <c r="D104" s="3" t="s">
        <v>25</v>
      </c>
      <c r="E104" s="3" t="s">
        <v>169</v>
      </c>
      <c r="F104" s="3" t="s">
        <v>71</v>
      </c>
      <c r="G104" s="3" t="s">
        <v>32</v>
      </c>
      <c r="H104" s="3" t="s">
        <v>22</v>
      </c>
      <c r="I104" s="3" t="s">
        <v>23</v>
      </c>
      <c r="J104" s="3">
        <v>24</v>
      </c>
      <c r="K104" s="3">
        <v>409</v>
      </c>
      <c r="L104" s="3">
        <v>9816</v>
      </c>
    </row>
    <row r="105" spans="1:12">
      <c r="A105" s="3" t="s">
        <v>145</v>
      </c>
      <c r="B105" s="25">
        <v>46195</v>
      </c>
      <c r="C105" s="3" t="s">
        <v>120</v>
      </c>
      <c r="D105" s="3" t="s">
        <v>120</v>
      </c>
      <c r="E105" s="3" t="s">
        <v>35</v>
      </c>
      <c r="F105" s="3" t="s">
        <v>36</v>
      </c>
      <c r="G105" s="3" t="s">
        <v>14</v>
      </c>
      <c r="H105" s="3" t="s">
        <v>28</v>
      </c>
      <c r="I105" s="3" t="s">
        <v>23</v>
      </c>
      <c r="J105" s="3">
        <v>25</v>
      </c>
      <c r="K105" s="3">
        <v>284</v>
      </c>
      <c r="L105" s="3">
        <v>7100</v>
      </c>
    </row>
    <row r="106" spans="1:12">
      <c r="A106" s="3" t="s">
        <v>162</v>
      </c>
      <c r="B106" s="25">
        <v>46195</v>
      </c>
      <c r="C106" s="3" t="s">
        <v>11</v>
      </c>
      <c r="D106" s="3" t="s">
        <v>120</v>
      </c>
      <c r="E106" s="3" t="s">
        <v>35</v>
      </c>
      <c r="F106" s="3" t="s">
        <v>36</v>
      </c>
      <c r="G106" s="3" t="s">
        <v>14</v>
      </c>
      <c r="H106" s="3" t="s">
        <v>28</v>
      </c>
      <c r="I106" s="3" t="s">
        <v>23</v>
      </c>
      <c r="J106" s="3">
        <v>6</v>
      </c>
      <c r="K106" s="3">
        <v>292</v>
      </c>
      <c r="L106" s="3">
        <v>1752</v>
      </c>
    </row>
    <row r="107" spans="1:12">
      <c r="A107" s="3" t="s">
        <v>84</v>
      </c>
      <c r="B107" s="25">
        <v>46195</v>
      </c>
      <c r="C107" s="3" t="s">
        <v>139</v>
      </c>
      <c r="D107" s="3" t="s">
        <v>139</v>
      </c>
      <c r="E107" s="3" t="s">
        <v>62</v>
      </c>
      <c r="F107" s="3" t="s">
        <v>63</v>
      </c>
      <c r="G107" s="3" t="s">
        <v>14</v>
      </c>
      <c r="H107" s="3" t="s">
        <v>33</v>
      </c>
      <c r="I107" s="3" t="s">
        <v>23</v>
      </c>
      <c r="J107" s="3">
        <v>5</v>
      </c>
      <c r="K107" s="3">
        <v>381</v>
      </c>
      <c r="L107" s="3">
        <v>1905</v>
      </c>
    </row>
    <row r="108" spans="1:12">
      <c r="A108" s="3" t="s">
        <v>61</v>
      </c>
      <c r="B108" s="25">
        <v>46196</v>
      </c>
      <c r="C108" s="3" t="s">
        <v>38</v>
      </c>
      <c r="D108" s="3" t="s">
        <v>139</v>
      </c>
      <c r="E108" s="3" t="s">
        <v>62</v>
      </c>
      <c r="F108" s="3" t="s">
        <v>63</v>
      </c>
      <c r="G108" s="3" t="s">
        <v>14</v>
      </c>
      <c r="H108" s="3" t="s">
        <v>58</v>
      </c>
      <c r="I108" s="3" t="s">
        <v>23</v>
      </c>
      <c r="J108" s="3">
        <v>19</v>
      </c>
      <c r="K108" s="3">
        <v>477</v>
      </c>
      <c r="L108" s="3">
        <v>9063</v>
      </c>
    </row>
    <row r="109" spans="1:12">
      <c r="A109" s="3" t="s">
        <v>180</v>
      </c>
      <c r="B109" s="25">
        <v>46196</v>
      </c>
      <c r="C109" s="3" t="s">
        <v>25</v>
      </c>
      <c r="D109" s="3" t="s">
        <v>25</v>
      </c>
      <c r="E109" s="3" t="s">
        <v>181</v>
      </c>
      <c r="F109" s="3" t="s">
        <v>131</v>
      </c>
      <c r="G109" s="3" t="s">
        <v>41</v>
      </c>
      <c r="H109" s="3" t="s">
        <v>58</v>
      </c>
      <c r="I109" s="3" t="s">
        <v>23</v>
      </c>
      <c r="J109" s="3">
        <v>21</v>
      </c>
      <c r="K109" s="3">
        <v>464</v>
      </c>
      <c r="L109" s="3">
        <v>9744</v>
      </c>
    </row>
    <row r="110" spans="1:12">
      <c r="A110" s="3" t="s">
        <v>180</v>
      </c>
      <c r="B110" s="25">
        <v>46196</v>
      </c>
      <c r="C110" s="3" t="s">
        <v>38</v>
      </c>
      <c r="D110" s="3" t="s">
        <v>139</v>
      </c>
      <c r="E110" s="3" t="s">
        <v>297</v>
      </c>
      <c r="F110" s="3" t="s">
        <v>106</v>
      </c>
      <c r="G110" s="3" t="s">
        <v>50</v>
      </c>
      <c r="H110" s="3" t="s">
        <v>15</v>
      </c>
      <c r="I110" s="3" t="s">
        <v>16</v>
      </c>
      <c r="J110" s="3">
        <v>21</v>
      </c>
      <c r="K110" s="3">
        <v>745</v>
      </c>
      <c r="L110" s="3">
        <v>15645</v>
      </c>
    </row>
    <row r="111" spans="1:12">
      <c r="A111" s="3" t="s">
        <v>180</v>
      </c>
      <c r="B111" s="25">
        <v>46196</v>
      </c>
      <c r="C111" s="3" t="s">
        <v>88</v>
      </c>
      <c r="D111" s="3" t="s">
        <v>25</v>
      </c>
      <c r="E111" s="3" t="s">
        <v>316</v>
      </c>
      <c r="F111" s="3" t="s">
        <v>112</v>
      </c>
      <c r="G111" s="3" t="s">
        <v>14</v>
      </c>
      <c r="H111" s="3" t="s">
        <v>22</v>
      </c>
      <c r="I111" s="3" t="s">
        <v>23</v>
      </c>
      <c r="J111" s="3">
        <v>16</v>
      </c>
      <c r="K111" s="3">
        <v>399</v>
      </c>
      <c r="L111" s="3">
        <v>6384</v>
      </c>
    </row>
    <row r="112" spans="1:12">
      <c r="A112" s="3" t="s">
        <v>10</v>
      </c>
      <c r="B112" s="25">
        <v>46197</v>
      </c>
      <c r="C112" s="3" t="s">
        <v>11</v>
      </c>
      <c r="D112" s="3" t="s">
        <v>120</v>
      </c>
      <c r="E112" s="3" t="s">
        <v>12</v>
      </c>
      <c r="F112" s="3" t="s">
        <v>13</v>
      </c>
      <c r="G112" s="3" t="s">
        <v>14</v>
      </c>
      <c r="H112" s="3" t="s">
        <v>15</v>
      </c>
      <c r="I112" s="3" t="s">
        <v>16</v>
      </c>
      <c r="J112" s="3">
        <v>25</v>
      </c>
      <c r="K112" s="3">
        <v>741</v>
      </c>
      <c r="L112" s="3">
        <v>18525</v>
      </c>
    </row>
    <row r="113" spans="1:12">
      <c r="A113" s="3" t="s">
        <v>67</v>
      </c>
      <c r="B113" s="25">
        <v>46197</v>
      </c>
      <c r="C113" s="3" t="s">
        <v>11</v>
      </c>
      <c r="D113" s="3" t="s">
        <v>120</v>
      </c>
      <c r="E113" s="3" t="s">
        <v>68</v>
      </c>
      <c r="F113" s="3" t="s">
        <v>36</v>
      </c>
      <c r="G113" s="3" t="s">
        <v>50</v>
      </c>
      <c r="H113" s="3" t="s">
        <v>15</v>
      </c>
      <c r="I113" s="3" t="s">
        <v>16</v>
      </c>
      <c r="J113" s="3">
        <v>10</v>
      </c>
      <c r="K113" s="3">
        <v>749</v>
      </c>
      <c r="L113" s="3">
        <v>7490</v>
      </c>
    </row>
    <row r="114" spans="1:12">
      <c r="A114" s="3" t="s">
        <v>177</v>
      </c>
      <c r="B114" s="25">
        <v>46197</v>
      </c>
      <c r="C114" s="3" t="s">
        <v>38</v>
      </c>
      <c r="D114" s="3" t="s">
        <v>139</v>
      </c>
      <c r="E114" s="3" t="s">
        <v>178</v>
      </c>
      <c r="F114" s="3" t="s">
        <v>179</v>
      </c>
      <c r="G114" s="3" t="s">
        <v>14</v>
      </c>
      <c r="H114" s="3" t="s">
        <v>15</v>
      </c>
      <c r="I114" s="3" t="s">
        <v>16</v>
      </c>
      <c r="J114" s="3">
        <v>10</v>
      </c>
      <c r="K114" s="3">
        <v>742</v>
      </c>
      <c r="L114" s="3">
        <v>7420</v>
      </c>
    </row>
    <row r="115" spans="1:12">
      <c r="A115" s="3" t="s">
        <v>10</v>
      </c>
      <c r="B115" s="25">
        <v>46197</v>
      </c>
      <c r="C115" s="3" t="s">
        <v>95</v>
      </c>
      <c r="D115" s="3" t="s">
        <v>95</v>
      </c>
      <c r="E115" s="3" t="s">
        <v>195</v>
      </c>
      <c r="F115" s="3" t="s">
        <v>196</v>
      </c>
      <c r="G115" s="3" t="s">
        <v>21</v>
      </c>
      <c r="H115" s="3" t="s">
        <v>15</v>
      </c>
      <c r="I115" s="3" t="s">
        <v>16</v>
      </c>
      <c r="J115" s="3">
        <v>8</v>
      </c>
      <c r="K115" s="3">
        <v>760</v>
      </c>
      <c r="L115" s="3">
        <v>6080</v>
      </c>
    </row>
    <row r="116" spans="1:12">
      <c r="A116" s="3" t="s">
        <v>10</v>
      </c>
      <c r="B116" s="25">
        <v>46197</v>
      </c>
      <c r="C116" s="3" t="s">
        <v>73</v>
      </c>
      <c r="D116" s="3" t="s">
        <v>44</v>
      </c>
      <c r="E116" s="3" t="s">
        <v>74</v>
      </c>
      <c r="F116" s="3" t="s">
        <v>36</v>
      </c>
      <c r="G116" s="3" t="s">
        <v>41</v>
      </c>
      <c r="H116" s="3" t="s">
        <v>15</v>
      </c>
      <c r="I116" s="3" t="s">
        <v>16</v>
      </c>
      <c r="J116" s="3">
        <v>6</v>
      </c>
      <c r="K116" s="3">
        <v>743</v>
      </c>
      <c r="L116" s="3">
        <v>4458</v>
      </c>
    </row>
    <row r="117" spans="1:12">
      <c r="A117" s="3" t="s">
        <v>67</v>
      </c>
      <c r="B117" s="25">
        <v>46197</v>
      </c>
      <c r="C117" s="3" t="s">
        <v>25</v>
      </c>
      <c r="D117" s="3" t="s">
        <v>25</v>
      </c>
      <c r="E117" s="3" t="s">
        <v>169</v>
      </c>
      <c r="F117" s="3" t="s">
        <v>71</v>
      </c>
      <c r="G117" s="3" t="s">
        <v>32</v>
      </c>
      <c r="H117" s="3" t="s">
        <v>15</v>
      </c>
      <c r="I117" s="3" t="s">
        <v>16</v>
      </c>
      <c r="J117" s="3">
        <v>18</v>
      </c>
      <c r="K117" s="3">
        <v>763</v>
      </c>
      <c r="L117" s="3">
        <v>13734</v>
      </c>
    </row>
    <row r="118" spans="1:12">
      <c r="A118" s="3" t="s">
        <v>67</v>
      </c>
      <c r="B118" s="25">
        <v>46197</v>
      </c>
      <c r="C118" s="3" t="s">
        <v>11</v>
      </c>
      <c r="D118" s="3" t="s">
        <v>120</v>
      </c>
      <c r="E118" s="3" t="s">
        <v>85</v>
      </c>
      <c r="F118" s="3" t="s">
        <v>86</v>
      </c>
      <c r="G118" s="3" t="s">
        <v>32</v>
      </c>
      <c r="H118" s="3" t="s">
        <v>33</v>
      </c>
      <c r="I118" s="3" t="s">
        <v>23</v>
      </c>
      <c r="J118" s="3">
        <v>11</v>
      </c>
      <c r="K118" s="3">
        <v>394</v>
      </c>
      <c r="L118" s="3">
        <v>4334</v>
      </c>
    </row>
    <row r="119" spans="1:12">
      <c r="A119" s="3" t="s">
        <v>177</v>
      </c>
      <c r="B119" s="25">
        <v>46197</v>
      </c>
      <c r="C119" s="3" t="s">
        <v>73</v>
      </c>
      <c r="D119" s="3" t="s">
        <v>44</v>
      </c>
      <c r="E119" s="3" t="s">
        <v>70</v>
      </c>
      <c r="F119" s="3" t="s">
        <v>71</v>
      </c>
      <c r="G119" s="3" t="s">
        <v>50</v>
      </c>
      <c r="H119" s="3" t="s">
        <v>42</v>
      </c>
      <c r="I119" s="3" t="s">
        <v>23</v>
      </c>
      <c r="J119" s="3">
        <v>3</v>
      </c>
      <c r="K119" s="3">
        <v>427</v>
      </c>
      <c r="L119" s="3">
        <v>1281</v>
      </c>
    </row>
    <row r="120" spans="1:12">
      <c r="A120" s="3" t="s">
        <v>177</v>
      </c>
      <c r="B120" s="25">
        <v>46197</v>
      </c>
      <c r="C120" s="3" t="s">
        <v>30</v>
      </c>
      <c r="D120" s="3" t="s">
        <v>44</v>
      </c>
      <c r="E120" s="3" t="s">
        <v>276</v>
      </c>
      <c r="F120" s="3" t="s">
        <v>164</v>
      </c>
      <c r="G120" s="3" t="s">
        <v>32</v>
      </c>
      <c r="H120" s="3" t="s">
        <v>33</v>
      </c>
      <c r="I120" s="3" t="s">
        <v>23</v>
      </c>
      <c r="J120" s="3">
        <v>4</v>
      </c>
      <c r="K120" s="3">
        <v>386</v>
      </c>
      <c r="L120" s="3">
        <v>1544</v>
      </c>
    </row>
    <row r="121" spans="1:12">
      <c r="A121" s="3" t="s">
        <v>155</v>
      </c>
      <c r="B121" s="25">
        <v>46198</v>
      </c>
      <c r="C121" s="3" t="s">
        <v>52</v>
      </c>
      <c r="D121" s="3" t="s">
        <v>25</v>
      </c>
      <c r="E121" s="3" t="s">
        <v>156</v>
      </c>
      <c r="F121" s="3" t="s">
        <v>80</v>
      </c>
      <c r="G121" s="3" t="s">
        <v>32</v>
      </c>
      <c r="H121" s="3" t="s">
        <v>28</v>
      </c>
      <c r="I121" s="3" t="s">
        <v>23</v>
      </c>
      <c r="J121" s="3">
        <v>16</v>
      </c>
      <c r="K121" s="3">
        <v>278</v>
      </c>
      <c r="L121" s="3">
        <v>4448</v>
      </c>
    </row>
    <row r="122" spans="1:12">
      <c r="A122" s="3" t="s">
        <v>274</v>
      </c>
      <c r="B122" s="25">
        <v>46198</v>
      </c>
      <c r="C122" s="3" t="s">
        <v>52</v>
      </c>
      <c r="D122" s="3" t="s">
        <v>25</v>
      </c>
      <c r="E122" s="3" t="s">
        <v>26</v>
      </c>
      <c r="F122" s="3" t="s">
        <v>27</v>
      </c>
      <c r="G122" s="3" t="s">
        <v>14</v>
      </c>
      <c r="H122" s="3" t="s">
        <v>28</v>
      </c>
      <c r="I122" s="3" t="s">
        <v>23</v>
      </c>
      <c r="J122" s="3">
        <v>9</v>
      </c>
      <c r="K122" s="3">
        <v>296</v>
      </c>
      <c r="L122" s="3">
        <v>2664</v>
      </c>
    </row>
    <row r="123" spans="1:12">
      <c r="A123" s="3" t="s">
        <v>290</v>
      </c>
      <c r="B123" s="25">
        <v>46198</v>
      </c>
      <c r="C123" s="3" t="s">
        <v>108</v>
      </c>
      <c r="D123" s="3" t="s">
        <v>44</v>
      </c>
      <c r="E123" s="3" t="s">
        <v>151</v>
      </c>
      <c r="F123" s="3" t="s">
        <v>152</v>
      </c>
      <c r="G123" s="3" t="s">
        <v>50</v>
      </c>
      <c r="H123" s="3" t="s">
        <v>15</v>
      </c>
      <c r="I123" s="3" t="s">
        <v>16</v>
      </c>
      <c r="J123" s="3">
        <v>17</v>
      </c>
      <c r="K123" s="3">
        <v>762</v>
      </c>
      <c r="L123" s="3">
        <v>12954</v>
      </c>
    </row>
    <row r="124" spans="1:12">
      <c r="A124" s="3" t="s">
        <v>274</v>
      </c>
      <c r="B124" s="25">
        <v>46198</v>
      </c>
      <c r="C124" s="3" t="s">
        <v>88</v>
      </c>
      <c r="D124" s="3" t="s">
        <v>25</v>
      </c>
      <c r="E124" s="3" t="s">
        <v>99</v>
      </c>
      <c r="F124" s="3" t="s">
        <v>100</v>
      </c>
      <c r="G124" s="3" t="s">
        <v>14</v>
      </c>
      <c r="H124" s="3" t="s">
        <v>28</v>
      </c>
      <c r="I124" s="3" t="s">
        <v>23</v>
      </c>
      <c r="J124" s="3">
        <v>20</v>
      </c>
      <c r="K124" s="3">
        <v>298</v>
      </c>
      <c r="L124" s="3">
        <v>5960</v>
      </c>
    </row>
    <row r="125" spans="1:12">
      <c r="A125" s="3" t="s">
        <v>155</v>
      </c>
      <c r="B125" s="25">
        <v>46198</v>
      </c>
      <c r="C125" s="3" t="s">
        <v>120</v>
      </c>
      <c r="D125" s="3" t="s">
        <v>120</v>
      </c>
      <c r="E125" s="3" t="s">
        <v>35</v>
      </c>
      <c r="F125" s="3" t="s">
        <v>36</v>
      </c>
      <c r="G125" s="3" t="s">
        <v>14</v>
      </c>
      <c r="H125" s="3" t="s">
        <v>42</v>
      </c>
      <c r="I125" s="3" t="s">
        <v>23</v>
      </c>
      <c r="J125" s="3">
        <v>9</v>
      </c>
      <c r="K125" s="3">
        <v>434</v>
      </c>
      <c r="L125" s="3">
        <v>3906</v>
      </c>
    </row>
    <row r="126" spans="1:12">
      <c r="A126" s="3" t="s">
        <v>94</v>
      </c>
      <c r="B126" s="25">
        <v>46199</v>
      </c>
      <c r="C126" s="3" t="s">
        <v>95</v>
      </c>
      <c r="D126" s="3" t="s">
        <v>95</v>
      </c>
      <c r="E126" s="3" t="s">
        <v>96</v>
      </c>
      <c r="F126" s="3" t="s">
        <v>97</v>
      </c>
      <c r="G126" s="3" t="s">
        <v>21</v>
      </c>
      <c r="H126" s="3" t="s">
        <v>33</v>
      </c>
      <c r="I126" s="3" t="s">
        <v>23</v>
      </c>
      <c r="J126" s="3">
        <v>24</v>
      </c>
      <c r="K126" s="3">
        <v>388</v>
      </c>
      <c r="L126" s="3">
        <v>9312</v>
      </c>
    </row>
    <row r="127" spans="1:12">
      <c r="A127" s="3" t="s">
        <v>209</v>
      </c>
      <c r="B127" s="25">
        <v>46199</v>
      </c>
      <c r="C127" s="3" t="s">
        <v>30</v>
      </c>
      <c r="D127" s="3" t="s">
        <v>44</v>
      </c>
      <c r="E127" s="3" t="s">
        <v>210</v>
      </c>
      <c r="F127" s="3" t="s">
        <v>131</v>
      </c>
      <c r="G127" s="3" t="s">
        <v>32</v>
      </c>
      <c r="H127" s="3" t="s">
        <v>58</v>
      </c>
      <c r="I127" s="3" t="s">
        <v>23</v>
      </c>
      <c r="J127" s="3">
        <v>14</v>
      </c>
      <c r="K127" s="3">
        <v>453</v>
      </c>
      <c r="L127" s="3">
        <v>6342</v>
      </c>
    </row>
    <row r="128" spans="1:12">
      <c r="A128" s="3" t="s">
        <v>209</v>
      </c>
      <c r="B128" s="25">
        <v>46199</v>
      </c>
      <c r="C128" s="3" t="s">
        <v>95</v>
      </c>
      <c r="D128" s="3" t="s">
        <v>95</v>
      </c>
      <c r="E128" s="3" t="s">
        <v>271</v>
      </c>
      <c r="F128" s="3" t="s">
        <v>103</v>
      </c>
      <c r="G128" s="3" t="s">
        <v>41</v>
      </c>
      <c r="H128" s="3" t="s">
        <v>22</v>
      </c>
      <c r="I128" s="3" t="s">
        <v>23</v>
      </c>
      <c r="J128" s="3">
        <v>14</v>
      </c>
      <c r="K128" s="3">
        <v>411</v>
      </c>
      <c r="L128" s="3">
        <v>5754</v>
      </c>
    </row>
    <row r="129" spans="1:12">
      <c r="A129" s="3" t="s">
        <v>94</v>
      </c>
      <c r="B129" s="25">
        <v>46199</v>
      </c>
      <c r="C129" s="3" t="s">
        <v>44</v>
      </c>
      <c r="D129" s="3" t="s">
        <v>44</v>
      </c>
      <c r="E129" s="3" t="s">
        <v>276</v>
      </c>
      <c r="F129" s="3" t="s">
        <v>164</v>
      </c>
      <c r="G129" s="3" t="s">
        <v>32</v>
      </c>
      <c r="H129" s="3" t="s">
        <v>33</v>
      </c>
      <c r="I129" s="3" t="s">
        <v>23</v>
      </c>
      <c r="J129" s="3">
        <v>4</v>
      </c>
      <c r="K129" s="3">
        <v>397</v>
      </c>
      <c r="L129" s="3">
        <v>1588</v>
      </c>
    </row>
    <row r="130" spans="1:12">
      <c r="A130" s="3" t="s">
        <v>94</v>
      </c>
      <c r="B130" s="25">
        <v>46199</v>
      </c>
      <c r="C130" s="3" t="s">
        <v>88</v>
      </c>
      <c r="D130" s="3" t="s">
        <v>25</v>
      </c>
      <c r="E130" s="3" t="s">
        <v>53</v>
      </c>
      <c r="F130" s="3" t="s">
        <v>54</v>
      </c>
      <c r="G130" s="3" t="s">
        <v>50</v>
      </c>
      <c r="H130" s="3" t="s">
        <v>42</v>
      </c>
      <c r="I130" s="3" t="s">
        <v>23</v>
      </c>
      <c r="J130" s="3">
        <v>2</v>
      </c>
      <c r="K130" s="3">
        <v>423</v>
      </c>
      <c r="L130" s="3">
        <v>846</v>
      </c>
    </row>
    <row r="131" spans="1:12">
      <c r="A131" s="3" t="s">
        <v>329</v>
      </c>
      <c r="B131" s="25">
        <v>46199</v>
      </c>
      <c r="C131" s="3" t="s">
        <v>120</v>
      </c>
      <c r="D131" s="3" t="s">
        <v>120</v>
      </c>
      <c r="E131" s="3" t="s">
        <v>68</v>
      </c>
      <c r="F131" s="3" t="s">
        <v>36</v>
      </c>
      <c r="G131" s="3" t="s">
        <v>50</v>
      </c>
      <c r="H131" s="3" t="s">
        <v>22</v>
      </c>
      <c r="I131" s="3" t="s">
        <v>23</v>
      </c>
      <c r="J131" s="3">
        <v>14</v>
      </c>
      <c r="K131" s="3">
        <v>402</v>
      </c>
      <c r="L131" s="3">
        <v>5628</v>
      </c>
    </row>
    <row r="132" spans="1:12">
      <c r="A132" s="3" t="s">
        <v>24</v>
      </c>
      <c r="B132" s="25">
        <v>46200</v>
      </c>
      <c r="C132" s="3" t="s">
        <v>25</v>
      </c>
      <c r="D132" s="3" t="s">
        <v>25</v>
      </c>
      <c r="E132" s="3" t="s">
        <v>26</v>
      </c>
      <c r="F132" s="3" t="s">
        <v>27</v>
      </c>
      <c r="G132" s="3" t="s">
        <v>14</v>
      </c>
      <c r="H132" s="3" t="s">
        <v>28</v>
      </c>
      <c r="I132" s="3" t="s">
        <v>23</v>
      </c>
      <c r="J132" s="4"/>
      <c r="K132" s="3">
        <v>287</v>
      </c>
      <c r="L132" s="4"/>
    </row>
    <row r="133" spans="1:12">
      <c r="A133" s="3" t="s">
        <v>123</v>
      </c>
      <c r="B133" s="25">
        <v>46200</v>
      </c>
      <c r="C133" s="3" t="s">
        <v>11</v>
      </c>
      <c r="D133" s="3" t="s">
        <v>120</v>
      </c>
      <c r="E133" s="3" t="s">
        <v>35</v>
      </c>
      <c r="F133" s="3" t="s">
        <v>36</v>
      </c>
      <c r="G133" s="3" t="s">
        <v>14</v>
      </c>
      <c r="H133" s="3" t="s">
        <v>22</v>
      </c>
      <c r="I133" s="3" t="s">
        <v>23</v>
      </c>
      <c r="J133" s="3">
        <v>3</v>
      </c>
      <c r="K133" s="3">
        <v>408</v>
      </c>
      <c r="L133" s="3">
        <v>1224</v>
      </c>
    </row>
    <row r="134" spans="1:12">
      <c r="A134" s="3" t="s">
        <v>24</v>
      </c>
      <c r="B134" s="25">
        <v>46200</v>
      </c>
      <c r="C134" s="3" t="s">
        <v>38</v>
      </c>
      <c r="D134" s="3" t="s">
        <v>139</v>
      </c>
      <c r="E134" s="3" t="s">
        <v>39</v>
      </c>
      <c r="F134" s="3" t="s">
        <v>40</v>
      </c>
      <c r="G134" s="3" t="s">
        <v>41</v>
      </c>
      <c r="H134" s="3" t="s">
        <v>15</v>
      </c>
      <c r="I134" s="3" t="s">
        <v>16</v>
      </c>
      <c r="J134" s="3">
        <v>22</v>
      </c>
      <c r="K134" s="3">
        <v>749</v>
      </c>
      <c r="L134" s="3">
        <v>16478</v>
      </c>
    </row>
    <row r="135" spans="1:12">
      <c r="A135" s="3" t="s">
        <v>24</v>
      </c>
      <c r="B135" s="25">
        <v>46200</v>
      </c>
      <c r="C135" s="3" t="s">
        <v>11</v>
      </c>
      <c r="D135" s="3" t="s">
        <v>120</v>
      </c>
      <c r="E135" s="3" t="s">
        <v>68</v>
      </c>
      <c r="F135" s="3" t="s">
        <v>36</v>
      </c>
      <c r="G135" s="3" t="s">
        <v>50</v>
      </c>
      <c r="H135" s="3" t="s">
        <v>28</v>
      </c>
      <c r="I135" s="3" t="s">
        <v>23</v>
      </c>
      <c r="J135" s="3">
        <v>3</v>
      </c>
      <c r="K135" s="3">
        <v>295</v>
      </c>
      <c r="L135" s="3">
        <v>885</v>
      </c>
    </row>
    <row r="136" spans="1:12">
      <c r="A136" s="3" t="s">
        <v>326</v>
      </c>
      <c r="B136" s="25">
        <v>46200</v>
      </c>
      <c r="C136" s="3" t="s">
        <v>18</v>
      </c>
      <c r="D136" s="3" t="s">
        <v>95</v>
      </c>
      <c r="E136" s="3" t="s">
        <v>234</v>
      </c>
      <c r="F136" s="3" t="s">
        <v>235</v>
      </c>
      <c r="G136" s="3" t="s">
        <v>50</v>
      </c>
      <c r="H136" s="3" t="s">
        <v>33</v>
      </c>
      <c r="I136" s="3" t="s">
        <v>23</v>
      </c>
      <c r="J136" s="3">
        <v>23</v>
      </c>
      <c r="K136" s="3">
        <v>405</v>
      </c>
      <c r="L136" s="3">
        <v>9315</v>
      </c>
    </row>
    <row r="137" spans="1:12">
      <c r="A137" s="3" t="s">
        <v>211</v>
      </c>
      <c r="B137" s="25">
        <v>46201</v>
      </c>
      <c r="C137" s="3" t="s">
        <v>88</v>
      </c>
      <c r="D137" s="3" t="s">
        <v>25</v>
      </c>
      <c r="E137" s="3" t="s">
        <v>156</v>
      </c>
      <c r="F137" s="3" t="s">
        <v>80</v>
      </c>
      <c r="G137" s="3" t="s">
        <v>32</v>
      </c>
      <c r="H137" s="3" t="s">
        <v>22</v>
      </c>
      <c r="I137" s="3" t="s">
        <v>23</v>
      </c>
      <c r="J137" s="3">
        <v>15</v>
      </c>
      <c r="K137" s="3">
        <v>402</v>
      </c>
      <c r="L137" s="3">
        <v>6030</v>
      </c>
    </row>
    <row r="138" spans="1:12">
      <c r="A138" s="3" t="s">
        <v>211</v>
      </c>
      <c r="B138" s="25">
        <v>46201</v>
      </c>
      <c r="C138" s="3" t="s">
        <v>11</v>
      </c>
      <c r="D138" s="3" t="s">
        <v>120</v>
      </c>
      <c r="E138" s="3" t="s">
        <v>258</v>
      </c>
      <c r="F138" s="3" t="s">
        <v>100</v>
      </c>
      <c r="G138" s="3" t="s">
        <v>41</v>
      </c>
      <c r="H138" s="3" t="s">
        <v>28</v>
      </c>
      <c r="I138" s="3" t="s">
        <v>23</v>
      </c>
      <c r="J138" s="3">
        <v>4</v>
      </c>
      <c r="K138" s="3">
        <v>282</v>
      </c>
      <c r="L138" s="3">
        <v>1128</v>
      </c>
    </row>
    <row r="139" spans="1:12">
      <c r="A139" s="3" t="s">
        <v>320</v>
      </c>
      <c r="B139" s="25">
        <v>46201</v>
      </c>
      <c r="C139" s="3" t="s">
        <v>110</v>
      </c>
      <c r="D139" s="3" t="s">
        <v>95</v>
      </c>
      <c r="E139" s="3" t="s">
        <v>294</v>
      </c>
      <c r="F139" s="3" t="s">
        <v>71</v>
      </c>
      <c r="G139" s="3" t="s">
        <v>14</v>
      </c>
      <c r="H139" s="3" t="s">
        <v>22</v>
      </c>
      <c r="I139" s="3" t="s">
        <v>23</v>
      </c>
      <c r="J139" s="3">
        <v>24</v>
      </c>
      <c r="K139" s="3">
        <v>411</v>
      </c>
      <c r="L139" s="3">
        <v>9864</v>
      </c>
    </row>
    <row r="140" spans="1:12">
      <c r="A140" s="3" t="s">
        <v>197</v>
      </c>
      <c r="B140" s="25">
        <v>46202</v>
      </c>
      <c r="C140" s="3" t="s">
        <v>88</v>
      </c>
      <c r="D140" s="3" t="s">
        <v>25</v>
      </c>
      <c r="E140" s="3" t="s">
        <v>198</v>
      </c>
      <c r="F140" s="3" t="s">
        <v>40</v>
      </c>
      <c r="G140" s="3" t="s">
        <v>21</v>
      </c>
      <c r="H140" s="3" t="s">
        <v>28</v>
      </c>
      <c r="I140" s="3" t="s">
        <v>23</v>
      </c>
      <c r="J140" s="3">
        <v>8</v>
      </c>
      <c r="K140" s="3">
        <v>288</v>
      </c>
      <c r="L140" s="3">
        <v>2304</v>
      </c>
    </row>
    <row r="141" spans="1:12">
      <c r="A141" s="3" t="s">
        <v>250</v>
      </c>
      <c r="B141" s="25">
        <v>46202</v>
      </c>
      <c r="C141" s="3" t="s">
        <v>110</v>
      </c>
      <c r="D141" s="3" t="s">
        <v>95</v>
      </c>
      <c r="E141" s="3" t="s">
        <v>251</v>
      </c>
      <c r="F141" s="3" t="s">
        <v>137</v>
      </c>
      <c r="G141" s="3" t="s">
        <v>50</v>
      </c>
      <c r="H141" s="3" t="s">
        <v>42</v>
      </c>
      <c r="I141" s="3" t="s">
        <v>23</v>
      </c>
      <c r="J141" s="3">
        <v>5</v>
      </c>
      <c r="K141" s="3">
        <v>436</v>
      </c>
      <c r="L141" s="3">
        <v>2180</v>
      </c>
    </row>
    <row r="142" spans="1:12">
      <c r="A142" s="3" t="s">
        <v>289</v>
      </c>
      <c r="B142" s="25">
        <v>46202</v>
      </c>
      <c r="C142" s="3" t="s">
        <v>108</v>
      </c>
      <c r="D142" s="3" t="s">
        <v>44</v>
      </c>
      <c r="E142" s="3" t="s">
        <v>210</v>
      </c>
      <c r="F142" s="3" t="s">
        <v>131</v>
      </c>
      <c r="G142" s="3" t="s">
        <v>32</v>
      </c>
      <c r="H142" s="3" t="s">
        <v>42</v>
      </c>
      <c r="I142" s="3" t="s">
        <v>23</v>
      </c>
      <c r="J142" s="3">
        <v>11</v>
      </c>
      <c r="K142" s="3">
        <v>417</v>
      </c>
      <c r="L142" s="3">
        <v>4587</v>
      </c>
    </row>
    <row r="143" spans="1:12">
      <c r="A143" s="3" t="s">
        <v>289</v>
      </c>
      <c r="B143" s="25">
        <v>46202</v>
      </c>
      <c r="C143" s="3" t="s">
        <v>88</v>
      </c>
      <c r="D143" s="3" t="s">
        <v>25</v>
      </c>
      <c r="E143" s="3" t="s">
        <v>281</v>
      </c>
      <c r="F143" s="3" t="s">
        <v>131</v>
      </c>
      <c r="G143" s="3" t="s">
        <v>32</v>
      </c>
      <c r="H143" s="3" t="s">
        <v>22</v>
      </c>
      <c r="I143" s="3" t="s">
        <v>23</v>
      </c>
      <c r="J143" s="3">
        <v>20</v>
      </c>
      <c r="K143" s="3">
        <v>407</v>
      </c>
      <c r="L143" s="3">
        <v>8140</v>
      </c>
    </row>
    <row r="144" spans="1:12">
      <c r="A144" s="3" t="s">
        <v>250</v>
      </c>
      <c r="B144" s="25">
        <v>46202</v>
      </c>
      <c r="C144" s="3" t="s">
        <v>25</v>
      </c>
      <c r="D144" s="3" t="s">
        <v>25</v>
      </c>
      <c r="E144" s="3" t="s">
        <v>181</v>
      </c>
      <c r="F144" s="3" t="s">
        <v>131</v>
      </c>
      <c r="G144" s="3" t="s">
        <v>41</v>
      </c>
      <c r="H144" s="3" t="s">
        <v>28</v>
      </c>
      <c r="I144" s="3" t="s">
        <v>23</v>
      </c>
      <c r="J144" s="3">
        <v>23</v>
      </c>
      <c r="K144" s="3">
        <v>287</v>
      </c>
      <c r="L144" s="3">
        <v>6601</v>
      </c>
    </row>
    <row r="145" spans="1:12">
      <c r="A145" s="3" t="s">
        <v>250</v>
      </c>
      <c r="B145" s="25">
        <v>46202</v>
      </c>
      <c r="C145" s="3" t="s">
        <v>30</v>
      </c>
      <c r="D145" s="3" t="s">
        <v>44</v>
      </c>
      <c r="E145" s="3" t="s">
        <v>282</v>
      </c>
      <c r="F145" s="3" t="s">
        <v>131</v>
      </c>
      <c r="G145" s="3" t="s">
        <v>41</v>
      </c>
      <c r="H145" s="3" t="s">
        <v>15</v>
      </c>
      <c r="I145" s="3" t="s">
        <v>16</v>
      </c>
      <c r="J145" s="3">
        <v>11</v>
      </c>
      <c r="K145" s="3">
        <v>750</v>
      </c>
      <c r="L145" s="3">
        <v>8250</v>
      </c>
    </row>
    <row r="146" spans="1:12">
      <c r="A146" s="3" t="s">
        <v>250</v>
      </c>
      <c r="B146" s="25">
        <v>46202</v>
      </c>
      <c r="C146" s="3" t="s">
        <v>110</v>
      </c>
      <c r="D146" s="3" t="s">
        <v>95</v>
      </c>
      <c r="E146" s="3" t="s">
        <v>271</v>
      </c>
      <c r="F146" s="3" t="s">
        <v>103</v>
      </c>
      <c r="G146" s="3" t="s">
        <v>41</v>
      </c>
      <c r="H146" s="3" t="s">
        <v>33</v>
      </c>
      <c r="I146" s="3" t="s">
        <v>23</v>
      </c>
      <c r="J146" s="3">
        <v>7</v>
      </c>
      <c r="K146" s="3">
        <v>402</v>
      </c>
      <c r="L146" s="3">
        <v>2814</v>
      </c>
    </row>
    <row r="147" spans="1:12">
      <c r="A147" s="3" t="s">
        <v>122</v>
      </c>
      <c r="B147" s="25">
        <v>46203</v>
      </c>
      <c r="C147" s="3" t="s">
        <v>108</v>
      </c>
      <c r="D147" s="3" t="s">
        <v>44</v>
      </c>
      <c r="E147" s="3" t="s">
        <v>70</v>
      </c>
      <c r="F147" s="3" t="s">
        <v>71</v>
      </c>
      <c r="G147" s="3" t="s">
        <v>50</v>
      </c>
      <c r="H147" s="3" t="s">
        <v>58</v>
      </c>
      <c r="I147" s="3" t="s">
        <v>23</v>
      </c>
      <c r="J147" s="3">
        <v>25</v>
      </c>
      <c r="K147" s="3">
        <v>456</v>
      </c>
      <c r="L147" s="3">
        <v>11400</v>
      </c>
    </row>
    <row r="148" spans="1:12">
      <c r="A148" s="3" t="s">
        <v>122</v>
      </c>
      <c r="B148" s="25">
        <v>46203</v>
      </c>
      <c r="C148" s="3" t="s">
        <v>38</v>
      </c>
      <c r="D148" s="3" t="s">
        <v>139</v>
      </c>
      <c r="E148" s="3" t="s">
        <v>207</v>
      </c>
      <c r="F148" s="3" t="s">
        <v>196</v>
      </c>
      <c r="G148" s="3" t="s">
        <v>50</v>
      </c>
      <c r="H148" s="3" t="s">
        <v>33</v>
      </c>
      <c r="I148" s="3" t="s">
        <v>23</v>
      </c>
      <c r="J148" s="3">
        <v>5</v>
      </c>
      <c r="K148" s="3">
        <v>400</v>
      </c>
      <c r="L148" s="3">
        <v>2000</v>
      </c>
    </row>
    <row r="149" spans="1:12">
      <c r="A149" s="3" t="s">
        <v>295</v>
      </c>
      <c r="B149" s="25">
        <v>46203</v>
      </c>
      <c r="C149" s="3" t="s">
        <v>139</v>
      </c>
      <c r="D149" s="3" t="s">
        <v>139</v>
      </c>
      <c r="E149" s="3" t="s">
        <v>296</v>
      </c>
      <c r="F149" s="3" t="s">
        <v>103</v>
      </c>
      <c r="G149" s="3" t="s">
        <v>32</v>
      </c>
      <c r="H149" s="3" t="s">
        <v>15</v>
      </c>
      <c r="I149" s="3" t="s">
        <v>16</v>
      </c>
      <c r="J149" s="3">
        <v>1</v>
      </c>
      <c r="K149" s="3">
        <v>748</v>
      </c>
      <c r="L149" s="3">
        <v>748</v>
      </c>
    </row>
    <row r="150" spans="1:12">
      <c r="A150" s="3" t="s">
        <v>324</v>
      </c>
      <c r="B150" s="25">
        <v>46203</v>
      </c>
      <c r="C150" s="3" t="s">
        <v>44</v>
      </c>
      <c r="D150" s="3" t="s">
        <v>44</v>
      </c>
      <c r="E150" s="3" t="s">
        <v>174</v>
      </c>
      <c r="F150" s="3" t="s">
        <v>46</v>
      </c>
      <c r="G150" s="3" t="s">
        <v>21</v>
      </c>
      <c r="H150" s="3" t="s">
        <v>28</v>
      </c>
      <c r="I150" s="3" t="s">
        <v>23</v>
      </c>
      <c r="J150" s="3">
        <v>1</v>
      </c>
      <c r="K150" s="3">
        <v>288</v>
      </c>
      <c r="L150" s="3">
        <v>288</v>
      </c>
    </row>
    <row r="151" spans="1:12">
      <c r="A151" s="3" t="s">
        <v>81</v>
      </c>
      <c r="B151" s="25">
        <v>46205</v>
      </c>
      <c r="C151" s="3" t="s">
        <v>25</v>
      </c>
      <c r="D151" s="3" t="s">
        <v>25</v>
      </c>
      <c r="E151" s="3" t="s">
        <v>82</v>
      </c>
      <c r="F151" s="3" t="s">
        <v>83</v>
      </c>
      <c r="G151" s="3" t="s">
        <v>41</v>
      </c>
      <c r="H151" s="3" t="s">
        <v>15</v>
      </c>
      <c r="I151" s="3" t="s">
        <v>16</v>
      </c>
      <c r="J151" s="3">
        <v>11</v>
      </c>
      <c r="K151" s="3">
        <v>754</v>
      </c>
      <c r="L151" s="3">
        <v>8294</v>
      </c>
    </row>
    <row r="152" spans="1:12">
      <c r="A152" s="3" t="s">
        <v>189</v>
      </c>
      <c r="B152" s="25">
        <v>46205</v>
      </c>
      <c r="C152" s="3" t="s">
        <v>25</v>
      </c>
      <c r="D152" s="3" t="s">
        <v>25</v>
      </c>
      <c r="E152" s="3" t="s">
        <v>190</v>
      </c>
      <c r="F152" s="3" t="s">
        <v>93</v>
      </c>
      <c r="G152" s="3" t="s">
        <v>14</v>
      </c>
      <c r="H152" s="3" t="s">
        <v>33</v>
      </c>
      <c r="I152" s="3" t="s">
        <v>23</v>
      </c>
      <c r="J152" s="3">
        <v>17</v>
      </c>
      <c r="K152" s="3">
        <v>392</v>
      </c>
      <c r="L152" s="3">
        <v>6664</v>
      </c>
    </row>
    <row r="153" spans="1:12">
      <c r="A153" s="3" t="s">
        <v>205</v>
      </c>
      <c r="B153" s="25">
        <v>46205</v>
      </c>
      <c r="C153" s="3" t="s">
        <v>11</v>
      </c>
      <c r="D153" s="3" t="s">
        <v>120</v>
      </c>
      <c r="E153" s="3" t="s">
        <v>188</v>
      </c>
      <c r="F153" s="3" t="s">
        <v>152</v>
      </c>
      <c r="G153" s="3" t="s">
        <v>21</v>
      </c>
      <c r="H153" s="3" t="s">
        <v>15</v>
      </c>
      <c r="I153" s="3" t="s">
        <v>16</v>
      </c>
      <c r="J153" s="3">
        <v>3</v>
      </c>
      <c r="K153" s="3">
        <v>755</v>
      </c>
      <c r="L153" s="3">
        <v>2265</v>
      </c>
    </row>
    <row r="154" spans="1:12">
      <c r="A154" s="3" t="s">
        <v>205</v>
      </c>
      <c r="B154" s="25">
        <v>46205</v>
      </c>
      <c r="C154" s="3" t="s">
        <v>44</v>
      </c>
      <c r="D154" s="3" t="s">
        <v>44</v>
      </c>
      <c r="E154" s="3" t="s">
        <v>45</v>
      </c>
      <c r="F154" s="3" t="s">
        <v>46</v>
      </c>
      <c r="G154" s="3" t="s">
        <v>14</v>
      </c>
      <c r="H154" s="3" t="s">
        <v>58</v>
      </c>
      <c r="I154" s="3" t="s">
        <v>23</v>
      </c>
      <c r="J154" s="3">
        <v>10</v>
      </c>
      <c r="K154" s="3">
        <v>453</v>
      </c>
      <c r="L154" s="3">
        <v>4530</v>
      </c>
    </row>
    <row r="155" spans="1:12">
      <c r="A155" s="3" t="s">
        <v>189</v>
      </c>
      <c r="B155" s="25">
        <v>46205</v>
      </c>
      <c r="C155" s="3" t="s">
        <v>110</v>
      </c>
      <c r="D155" s="3" t="s">
        <v>95</v>
      </c>
      <c r="E155" s="3" t="s">
        <v>220</v>
      </c>
      <c r="F155" s="3" t="s">
        <v>221</v>
      </c>
      <c r="G155" s="3" t="s">
        <v>21</v>
      </c>
      <c r="H155" s="3" t="s">
        <v>15</v>
      </c>
      <c r="I155" s="3" t="s">
        <v>16</v>
      </c>
      <c r="J155" s="3">
        <v>17</v>
      </c>
      <c r="K155" s="3">
        <v>749</v>
      </c>
      <c r="L155" s="3">
        <v>12733</v>
      </c>
    </row>
    <row r="156" spans="1:12">
      <c r="A156" s="3" t="s">
        <v>189</v>
      </c>
      <c r="B156" s="25">
        <v>46205</v>
      </c>
      <c r="C156" s="3" t="s">
        <v>120</v>
      </c>
      <c r="D156" s="3" t="s">
        <v>120</v>
      </c>
      <c r="E156" s="3" t="s">
        <v>125</v>
      </c>
      <c r="F156" s="3" t="s">
        <v>112</v>
      </c>
      <c r="G156" s="3" t="s">
        <v>32</v>
      </c>
      <c r="H156" s="3" t="s">
        <v>42</v>
      </c>
      <c r="I156" s="3" t="s">
        <v>23</v>
      </c>
      <c r="J156" s="3">
        <v>13</v>
      </c>
      <c r="K156" s="3">
        <v>423</v>
      </c>
      <c r="L156" s="3">
        <v>5499</v>
      </c>
    </row>
    <row r="157" spans="1:12">
      <c r="A157" s="3" t="s">
        <v>81</v>
      </c>
      <c r="B157" s="25">
        <v>46205</v>
      </c>
      <c r="C157" s="3" t="s">
        <v>139</v>
      </c>
      <c r="D157" s="3" t="s">
        <v>139</v>
      </c>
      <c r="E157" s="3" t="s">
        <v>253</v>
      </c>
      <c r="F157" s="3" t="s">
        <v>239</v>
      </c>
      <c r="G157" s="3" t="s">
        <v>21</v>
      </c>
      <c r="H157" s="3" t="s">
        <v>58</v>
      </c>
      <c r="I157" s="3" t="s">
        <v>23</v>
      </c>
      <c r="J157" s="3">
        <v>17</v>
      </c>
      <c r="K157" s="3">
        <v>457</v>
      </c>
      <c r="L157" s="3">
        <v>7769</v>
      </c>
    </row>
    <row r="158" spans="1:12">
      <c r="A158" s="3" t="s">
        <v>81</v>
      </c>
      <c r="B158" s="25">
        <v>46205</v>
      </c>
      <c r="C158" s="3" t="s">
        <v>25</v>
      </c>
      <c r="D158" s="3" t="s">
        <v>25</v>
      </c>
      <c r="E158" s="3" t="s">
        <v>307</v>
      </c>
      <c r="F158" s="3" t="s">
        <v>115</v>
      </c>
      <c r="G158" s="3" t="s">
        <v>14</v>
      </c>
      <c r="H158" s="3" t="s">
        <v>28</v>
      </c>
      <c r="I158" s="3" t="s">
        <v>23</v>
      </c>
      <c r="J158" s="3">
        <v>16</v>
      </c>
      <c r="K158" s="3">
        <v>287</v>
      </c>
      <c r="L158" s="3">
        <v>4592</v>
      </c>
    </row>
    <row r="159" spans="1:12">
      <c r="A159" s="3" t="s">
        <v>17</v>
      </c>
      <c r="B159" s="25">
        <v>46206</v>
      </c>
      <c r="C159" s="3" t="s">
        <v>18</v>
      </c>
      <c r="D159" s="3" t="s">
        <v>95</v>
      </c>
      <c r="E159" s="3" t="s">
        <v>19</v>
      </c>
      <c r="F159" s="3" t="s">
        <v>20</v>
      </c>
      <c r="G159" s="3" t="s">
        <v>21</v>
      </c>
      <c r="H159" s="3" t="s">
        <v>22</v>
      </c>
      <c r="I159" s="3" t="s">
        <v>23</v>
      </c>
      <c r="J159" s="3">
        <v>15</v>
      </c>
      <c r="K159" s="3">
        <v>410</v>
      </c>
      <c r="L159" s="3">
        <v>6150</v>
      </c>
    </row>
    <row r="160" spans="1:12">
      <c r="A160" s="3" t="s">
        <v>216</v>
      </c>
      <c r="B160" s="25">
        <v>46206</v>
      </c>
      <c r="C160" s="3" t="s">
        <v>18</v>
      </c>
      <c r="D160" s="3" t="s">
        <v>95</v>
      </c>
      <c r="E160" s="3" t="s">
        <v>217</v>
      </c>
      <c r="F160" s="3" t="s">
        <v>93</v>
      </c>
      <c r="G160" s="3" t="s">
        <v>14</v>
      </c>
      <c r="H160" s="3" t="s">
        <v>33</v>
      </c>
      <c r="I160" s="3" t="s">
        <v>23</v>
      </c>
      <c r="J160" s="3">
        <v>3</v>
      </c>
      <c r="K160" s="3">
        <v>383</v>
      </c>
      <c r="L160" s="3">
        <v>1149</v>
      </c>
    </row>
    <row r="161" spans="1:12">
      <c r="A161" s="3" t="s">
        <v>216</v>
      </c>
      <c r="B161" s="25">
        <v>46206</v>
      </c>
      <c r="C161" s="3" t="s">
        <v>25</v>
      </c>
      <c r="D161" s="3" t="s">
        <v>25</v>
      </c>
      <c r="E161" s="3" t="s">
        <v>190</v>
      </c>
      <c r="F161" s="3" t="s">
        <v>93</v>
      </c>
      <c r="G161" s="3" t="s">
        <v>14</v>
      </c>
      <c r="H161" s="3" t="s">
        <v>33</v>
      </c>
      <c r="I161" s="3" t="s">
        <v>23</v>
      </c>
      <c r="J161" s="3">
        <v>15</v>
      </c>
      <c r="K161" s="3">
        <v>409</v>
      </c>
      <c r="L161" s="3">
        <v>6135</v>
      </c>
    </row>
    <row r="162" spans="1:12">
      <c r="A162" s="3" t="s">
        <v>47</v>
      </c>
      <c r="B162" s="25">
        <v>46207</v>
      </c>
      <c r="C162" s="3" t="s">
        <v>30</v>
      </c>
      <c r="D162" s="3" t="s">
        <v>44</v>
      </c>
      <c r="E162" s="3" t="s">
        <v>48</v>
      </c>
      <c r="F162" s="3" t="s">
        <v>49</v>
      </c>
      <c r="G162" s="3" t="s">
        <v>50</v>
      </c>
      <c r="H162" s="3" t="s">
        <v>22</v>
      </c>
      <c r="I162" s="3" t="s">
        <v>23</v>
      </c>
      <c r="J162" s="3">
        <v>21</v>
      </c>
      <c r="K162" s="3">
        <v>420</v>
      </c>
      <c r="L162" s="3">
        <v>8820</v>
      </c>
    </row>
    <row r="163" spans="1:12">
      <c r="A163" s="3" t="s">
        <v>148</v>
      </c>
      <c r="B163" s="25">
        <v>46207</v>
      </c>
      <c r="C163" s="3" t="s">
        <v>120</v>
      </c>
      <c r="D163" s="3" t="s">
        <v>120</v>
      </c>
      <c r="E163" s="3" t="s">
        <v>149</v>
      </c>
      <c r="F163" s="3" t="s">
        <v>115</v>
      </c>
      <c r="G163" s="3" t="s">
        <v>50</v>
      </c>
      <c r="H163" s="3" t="s">
        <v>58</v>
      </c>
      <c r="I163" s="3" t="s">
        <v>23</v>
      </c>
      <c r="J163" s="3">
        <v>5</v>
      </c>
      <c r="K163" s="3">
        <v>465</v>
      </c>
      <c r="L163" s="3">
        <v>2325</v>
      </c>
    </row>
    <row r="164" spans="1:12">
      <c r="A164" s="3" t="s">
        <v>148</v>
      </c>
      <c r="B164" s="25">
        <v>46207</v>
      </c>
      <c r="C164" s="3" t="s">
        <v>139</v>
      </c>
      <c r="D164" s="3" t="s">
        <v>139</v>
      </c>
      <c r="E164" s="3" t="s">
        <v>114</v>
      </c>
      <c r="F164" s="3" t="s">
        <v>115</v>
      </c>
      <c r="G164" s="3" t="s">
        <v>41</v>
      </c>
      <c r="H164" s="3" t="s">
        <v>22</v>
      </c>
      <c r="I164" s="3" t="s">
        <v>23</v>
      </c>
      <c r="J164" s="3">
        <v>1</v>
      </c>
      <c r="K164" s="3">
        <v>408</v>
      </c>
      <c r="L164" s="3">
        <v>408</v>
      </c>
    </row>
    <row r="165" spans="1:12">
      <c r="A165" s="3" t="s">
        <v>47</v>
      </c>
      <c r="B165" s="25">
        <v>46207</v>
      </c>
      <c r="C165" s="3" t="s">
        <v>18</v>
      </c>
      <c r="D165" s="3" t="s">
        <v>95</v>
      </c>
      <c r="E165" s="3" t="s">
        <v>217</v>
      </c>
      <c r="F165" s="3" t="s">
        <v>93</v>
      </c>
      <c r="G165" s="3" t="s">
        <v>14</v>
      </c>
      <c r="H165" s="3" t="s">
        <v>33</v>
      </c>
      <c r="I165" s="3" t="s">
        <v>23</v>
      </c>
      <c r="J165" s="3">
        <v>4</v>
      </c>
      <c r="K165" s="3">
        <v>400</v>
      </c>
      <c r="L165" s="3">
        <v>1600</v>
      </c>
    </row>
    <row r="166" spans="1:12">
      <c r="A166" s="3" t="s">
        <v>257</v>
      </c>
      <c r="B166" s="25">
        <v>46207</v>
      </c>
      <c r="C166" s="3" t="s">
        <v>120</v>
      </c>
      <c r="D166" s="3" t="s">
        <v>120</v>
      </c>
      <c r="E166" s="3" t="s">
        <v>121</v>
      </c>
      <c r="F166" s="3" t="s">
        <v>63</v>
      </c>
      <c r="G166" s="3" t="s">
        <v>14</v>
      </c>
      <c r="H166" s="3" t="s">
        <v>15</v>
      </c>
      <c r="I166" s="3" t="s">
        <v>16</v>
      </c>
      <c r="J166" s="3">
        <v>25</v>
      </c>
      <c r="K166" s="3">
        <v>749</v>
      </c>
      <c r="L166" s="3">
        <v>18725</v>
      </c>
    </row>
    <row r="167" spans="1:12">
      <c r="A167" s="3" t="s">
        <v>47</v>
      </c>
      <c r="B167" s="25">
        <v>46207</v>
      </c>
      <c r="C167" s="3" t="s">
        <v>38</v>
      </c>
      <c r="D167" s="3" t="s">
        <v>139</v>
      </c>
      <c r="E167" s="3" t="s">
        <v>240</v>
      </c>
      <c r="F167" s="3" t="s">
        <v>239</v>
      </c>
      <c r="G167" s="3" t="s">
        <v>21</v>
      </c>
      <c r="H167" s="3" t="s">
        <v>28</v>
      </c>
      <c r="I167" s="3" t="s">
        <v>23</v>
      </c>
      <c r="J167" s="3">
        <v>22</v>
      </c>
      <c r="K167" s="3">
        <v>298</v>
      </c>
      <c r="L167" s="3">
        <v>6556</v>
      </c>
    </row>
    <row r="168" spans="1:12">
      <c r="A168" s="3" t="s">
        <v>257</v>
      </c>
      <c r="B168" s="25">
        <v>46207</v>
      </c>
      <c r="C168" s="3" t="s">
        <v>38</v>
      </c>
      <c r="D168" s="3" t="s">
        <v>139</v>
      </c>
      <c r="E168" s="3" t="s">
        <v>140</v>
      </c>
      <c r="F168" s="3" t="s">
        <v>118</v>
      </c>
      <c r="G168" s="3" t="s">
        <v>50</v>
      </c>
      <c r="H168" s="3" t="s">
        <v>15</v>
      </c>
      <c r="I168" s="3" t="s">
        <v>16</v>
      </c>
      <c r="J168" s="3">
        <v>10</v>
      </c>
      <c r="K168" s="3">
        <v>755</v>
      </c>
      <c r="L168" s="3">
        <v>7550</v>
      </c>
    </row>
    <row r="169" spans="1:12">
      <c r="A169" s="3" t="s">
        <v>257</v>
      </c>
      <c r="B169" s="25">
        <v>46207</v>
      </c>
      <c r="C169" s="3" t="s">
        <v>18</v>
      </c>
      <c r="D169" s="3" t="s">
        <v>95</v>
      </c>
      <c r="E169" s="3" t="s">
        <v>111</v>
      </c>
      <c r="F169" s="3" t="s">
        <v>112</v>
      </c>
      <c r="G169" s="3" t="s">
        <v>50</v>
      </c>
      <c r="H169" s="3" t="s">
        <v>15</v>
      </c>
      <c r="I169" s="3" t="s">
        <v>16</v>
      </c>
      <c r="J169" s="3">
        <v>14</v>
      </c>
      <c r="K169" s="3">
        <v>756</v>
      </c>
      <c r="L169" s="3">
        <v>10584</v>
      </c>
    </row>
    <row r="170" spans="1:12">
      <c r="A170" s="3" t="s">
        <v>215</v>
      </c>
      <c r="B170" s="25">
        <v>46208</v>
      </c>
      <c r="C170" s="3" t="s">
        <v>11</v>
      </c>
      <c r="D170" s="3" t="s">
        <v>120</v>
      </c>
      <c r="E170" s="3" t="s">
        <v>188</v>
      </c>
      <c r="F170" s="3" t="s">
        <v>152</v>
      </c>
      <c r="G170" s="3" t="s">
        <v>21</v>
      </c>
      <c r="H170" s="3" t="s">
        <v>15</v>
      </c>
      <c r="I170" s="3" t="s">
        <v>16</v>
      </c>
      <c r="J170" s="3">
        <v>22</v>
      </c>
      <c r="K170" s="3">
        <v>763</v>
      </c>
      <c r="L170" s="3">
        <v>16786</v>
      </c>
    </row>
    <row r="171" spans="1:12">
      <c r="A171" s="3" t="s">
        <v>286</v>
      </c>
      <c r="B171" s="25">
        <v>46208</v>
      </c>
      <c r="C171" s="3" t="s">
        <v>120</v>
      </c>
      <c r="D171" s="3" t="s">
        <v>120</v>
      </c>
      <c r="E171" s="3" t="s">
        <v>92</v>
      </c>
      <c r="F171" s="3" t="s">
        <v>93</v>
      </c>
      <c r="G171" s="3" t="s">
        <v>14</v>
      </c>
      <c r="H171" s="3" t="s">
        <v>42</v>
      </c>
      <c r="I171" s="3" t="s">
        <v>23</v>
      </c>
      <c r="J171" s="3">
        <v>22</v>
      </c>
      <c r="K171" s="3">
        <v>411</v>
      </c>
      <c r="L171" s="3">
        <v>9042</v>
      </c>
    </row>
    <row r="172" spans="1:12">
      <c r="A172" s="3" t="s">
        <v>132</v>
      </c>
      <c r="B172" s="25">
        <v>46209</v>
      </c>
      <c r="C172" s="3" t="s">
        <v>88</v>
      </c>
      <c r="D172" s="3" t="s">
        <v>25</v>
      </c>
      <c r="E172" s="3" t="s">
        <v>102</v>
      </c>
      <c r="F172" s="3" t="s">
        <v>103</v>
      </c>
      <c r="G172" s="3" t="s">
        <v>14</v>
      </c>
      <c r="H172" s="3" t="s">
        <v>22</v>
      </c>
      <c r="I172" s="3" t="s">
        <v>23</v>
      </c>
      <c r="J172" s="3">
        <v>15</v>
      </c>
      <c r="K172" s="3">
        <v>410</v>
      </c>
      <c r="L172" s="3">
        <v>6150</v>
      </c>
    </row>
    <row r="173" spans="1:12">
      <c r="A173" s="3" t="s">
        <v>132</v>
      </c>
      <c r="B173" s="25">
        <v>46209</v>
      </c>
      <c r="C173" s="3" t="s">
        <v>11</v>
      </c>
      <c r="D173" s="3" t="s">
        <v>120</v>
      </c>
      <c r="E173" s="3" t="s">
        <v>121</v>
      </c>
      <c r="F173" s="3" t="s">
        <v>63</v>
      </c>
      <c r="G173" s="3" t="s">
        <v>14</v>
      </c>
      <c r="H173" s="3" t="s">
        <v>33</v>
      </c>
      <c r="I173" s="3" t="s">
        <v>23</v>
      </c>
      <c r="J173" s="3">
        <v>15</v>
      </c>
      <c r="K173" s="3">
        <v>405</v>
      </c>
      <c r="L173" s="3">
        <v>6075</v>
      </c>
    </row>
    <row r="174" spans="1:12">
      <c r="A174" s="3" t="s">
        <v>260</v>
      </c>
      <c r="B174" s="25">
        <v>46209</v>
      </c>
      <c r="C174" s="3" t="s">
        <v>88</v>
      </c>
      <c r="D174" s="3" t="s">
        <v>25</v>
      </c>
      <c r="E174" s="3" t="s">
        <v>76</v>
      </c>
      <c r="F174" s="3" t="s">
        <v>77</v>
      </c>
      <c r="G174" s="3" t="s">
        <v>41</v>
      </c>
      <c r="H174" s="3" t="s">
        <v>22</v>
      </c>
      <c r="I174" s="3" t="s">
        <v>23</v>
      </c>
      <c r="J174" s="3">
        <v>8</v>
      </c>
      <c r="K174" s="3">
        <v>409</v>
      </c>
      <c r="L174" s="3">
        <v>3272</v>
      </c>
    </row>
    <row r="175" spans="1:12">
      <c r="A175" s="3" t="s">
        <v>132</v>
      </c>
      <c r="B175" s="25">
        <v>46209</v>
      </c>
      <c r="C175" s="3" t="s">
        <v>139</v>
      </c>
      <c r="D175" s="3" t="s">
        <v>139</v>
      </c>
      <c r="E175" s="3" t="s">
        <v>140</v>
      </c>
      <c r="F175" s="3" t="s">
        <v>118</v>
      </c>
      <c r="G175" s="3" t="s">
        <v>50</v>
      </c>
      <c r="H175" s="3" t="s">
        <v>28</v>
      </c>
      <c r="I175" s="3" t="s">
        <v>23</v>
      </c>
      <c r="J175" s="3">
        <v>15</v>
      </c>
      <c r="K175" s="3">
        <v>292</v>
      </c>
      <c r="L175" s="3">
        <v>4380</v>
      </c>
    </row>
    <row r="176" spans="1:12">
      <c r="A176" s="3" t="s">
        <v>143</v>
      </c>
      <c r="B176" s="25">
        <v>46210</v>
      </c>
      <c r="C176" s="3" t="s">
        <v>95</v>
      </c>
      <c r="D176" s="3" t="s">
        <v>95</v>
      </c>
      <c r="E176" s="3" t="s">
        <v>144</v>
      </c>
      <c r="F176" s="3" t="s">
        <v>118</v>
      </c>
      <c r="G176" s="3" t="s">
        <v>50</v>
      </c>
      <c r="H176" s="3" t="s">
        <v>22</v>
      </c>
      <c r="I176" s="3" t="s">
        <v>23</v>
      </c>
      <c r="J176" s="3">
        <v>20</v>
      </c>
      <c r="K176" s="3">
        <v>399</v>
      </c>
      <c r="L176" s="3">
        <v>7980</v>
      </c>
    </row>
    <row r="177" spans="1:12">
      <c r="A177" s="3" t="s">
        <v>158</v>
      </c>
      <c r="B177" s="25">
        <v>46210</v>
      </c>
      <c r="C177" s="3" t="s">
        <v>11</v>
      </c>
      <c r="D177" s="3" t="s">
        <v>120</v>
      </c>
      <c r="E177" s="3" t="s">
        <v>159</v>
      </c>
      <c r="F177" s="3" t="s">
        <v>160</v>
      </c>
      <c r="G177" s="3" t="s">
        <v>50</v>
      </c>
      <c r="H177" s="3" t="s">
        <v>28</v>
      </c>
      <c r="I177" s="3" t="s">
        <v>23</v>
      </c>
      <c r="J177" s="3">
        <v>18</v>
      </c>
      <c r="K177" s="3">
        <v>290</v>
      </c>
      <c r="L177" s="3">
        <v>5220</v>
      </c>
    </row>
    <row r="178" spans="1:12">
      <c r="A178" s="3" t="s">
        <v>143</v>
      </c>
      <c r="B178" s="25">
        <v>46210</v>
      </c>
      <c r="C178" s="3" t="s">
        <v>18</v>
      </c>
      <c r="D178" s="3" t="s">
        <v>95</v>
      </c>
      <c r="E178" s="3" t="s">
        <v>105</v>
      </c>
      <c r="F178" s="3" t="s">
        <v>106</v>
      </c>
      <c r="G178" s="3" t="s">
        <v>50</v>
      </c>
      <c r="H178" s="3" t="s">
        <v>15</v>
      </c>
      <c r="I178" s="3" t="s">
        <v>16</v>
      </c>
      <c r="J178" s="3">
        <v>12</v>
      </c>
      <c r="K178" s="3">
        <v>761</v>
      </c>
      <c r="L178" s="3">
        <v>9132</v>
      </c>
    </row>
    <row r="179" spans="1:12">
      <c r="A179" s="3" t="s">
        <v>143</v>
      </c>
      <c r="B179" s="25">
        <v>46210</v>
      </c>
      <c r="C179" s="3" t="s">
        <v>38</v>
      </c>
      <c r="D179" s="3" t="s">
        <v>139</v>
      </c>
      <c r="E179" s="3" t="s">
        <v>255</v>
      </c>
      <c r="F179" s="3" t="s">
        <v>27</v>
      </c>
      <c r="G179" s="3" t="s">
        <v>41</v>
      </c>
      <c r="H179" s="3" t="s">
        <v>15</v>
      </c>
      <c r="I179" s="3" t="s">
        <v>16</v>
      </c>
      <c r="J179" s="3">
        <v>18</v>
      </c>
      <c r="K179" s="3">
        <v>747</v>
      </c>
      <c r="L179" s="3">
        <v>13446</v>
      </c>
    </row>
    <row r="180" spans="1:12">
      <c r="A180" s="3" t="s">
        <v>158</v>
      </c>
      <c r="B180" s="25">
        <v>46210</v>
      </c>
      <c r="C180" s="3" t="s">
        <v>11</v>
      </c>
      <c r="D180" s="3" t="s">
        <v>120</v>
      </c>
      <c r="E180" s="3" t="s">
        <v>188</v>
      </c>
      <c r="F180" s="3" t="s">
        <v>152</v>
      </c>
      <c r="G180" s="3" t="s">
        <v>21</v>
      </c>
      <c r="H180" s="3" t="s">
        <v>22</v>
      </c>
      <c r="I180" s="3" t="s">
        <v>23</v>
      </c>
      <c r="J180" s="3">
        <v>14</v>
      </c>
      <c r="K180" s="3">
        <v>395</v>
      </c>
      <c r="L180" s="3">
        <v>5530</v>
      </c>
    </row>
    <row r="181" spans="1:12">
      <c r="A181" s="3" t="s">
        <v>158</v>
      </c>
      <c r="B181" s="25">
        <v>46210</v>
      </c>
      <c r="C181" s="3" t="s">
        <v>11</v>
      </c>
      <c r="D181" s="3" t="s">
        <v>120</v>
      </c>
      <c r="E181" s="3" t="s">
        <v>284</v>
      </c>
      <c r="F181" s="3" t="s">
        <v>66</v>
      </c>
      <c r="G181" s="3" t="s">
        <v>14</v>
      </c>
      <c r="H181" s="3" t="s">
        <v>58</v>
      </c>
      <c r="I181" s="3" t="s">
        <v>23</v>
      </c>
      <c r="J181" s="3">
        <v>12</v>
      </c>
      <c r="K181" s="3">
        <v>459</v>
      </c>
      <c r="L181" s="3">
        <v>5508</v>
      </c>
    </row>
    <row r="182" spans="1:12">
      <c r="A182" s="3" t="s">
        <v>116</v>
      </c>
      <c r="B182" s="25">
        <v>46211</v>
      </c>
      <c r="C182" s="3" t="s">
        <v>110</v>
      </c>
      <c r="D182" s="3" t="s">
        <v>95</v>
      </c>
      <c r="E182" s="3" t="s">
        <v>117</v>
      </c>
      <c r="F182" s="3" t="s">
        <v>118</v>
      </c>
      <c r="G182" s="3" t="s">
        <v>21</v>
      </c>
      <c r="H182" s="3" t="s">
        <v>22</v>
      </c>
      <c r="I182" s="3" t="s">
        <v>23</v>
      </c>
      <c r="J182" s="3">
        <v>18</v>
      </c>
      <c r="K182" s="3">
        <v>420</v>
      </c>
      <c r="L182" s="3">
        <v>7560</v>
      </c>
    </row>
    <row r="183" spans="1:12">
      <c r="A183" s="3" t="s">
        <v>124</v>
      </c>
      <c r="B183" s="25">
        <v>46211</v>
      </c>
      <c r="C183" s="3" t="s">
        <v>120</v>
      </c>
      <c r="D183" s="3" t="s">
        <v>120</v>
      </c>
      <c r="E183" s="3" t="s">
        <v>125</v>
      </c>
      <c r="F183" s="3" t="s">
        <v>112</v>
      </c>
      <c r="G183" s="3" t="s">
        <v>32</v>
      </c>
      <c r="H183" s="3" t="s">
        <v>28</v>
      </c>
      <c r="I183" s="3" t="s">
        <v>23</v>
      </c>
      <c r="J183" s="3">
        <v>4</v>
      </c>
      <c r="K183" s="3">
        <v>277</v>
      </c>
      <c r="L183" s="3">
        <v>1108</v>
      </c>
    </row>
    <row r="184" spans="1:12">
      <c r="A184" s="3" t="s">
        <v>191</v>
      </c>
      <c r="B184" s="25">
        <v>46211</v>
      </c>
      <c r="C184" s="3" t="s">
        <v>18</v>
      </c>
      <c r="D184" s="3" t="s">
        <v>95</v>
      </c>
      <c r="E184" s="3" t="s">
        <v>105</v>
      </c>
      <c r="F184" s="3" t="s">
        <v>106</v>
      </c>
      <c r="G184" s="3" t="s">
        <v>50</v>
      </c>
      <c r="H184" s="3" t="s">
        <v>58</v>
      </c>
      <c r="I184" s="3" t="s">
        <v>23</v>
      </c>
      <c r="J184" s="3">
        <v>5</v>
      </c>
      <c r="K184" s="3">
        <v>455</v>
      </c>
      <c r="L184" s="3">
        <v>2275</v>
      </c>
    </row>
    <row r="185" spans="1:12">
      <c r="A185" s="3" t="s">
        <v>124</v>
      </c>
      <c r="B185" s="25">
        <v>46211</v>
      </c>
      <c r="C185" s="3" t="s">
        <v>25</v>
      </c>
      <c r="D185" s="3" t="s">
        <v>25</v>
      </c>
      <c r="E185" s="3" t="s">
        <v>241</v>
      </c>
      <c r="F185" s="3" t="s">
        <v>242</v>
      </c>
      <c r="G185" s="3" t="s">
        <v>14</v>
      </c>
      <c r="H185" s="3" t="s">
        <v>42</v>
      </c>
      <c r="I185" s="3" t="s">
        <v>23</v>
      </c>
      <c r="J185" s="3">
        <v>21</v>
      </c>
      <c r="K185" s="3">
        <v>424</v>
      </c>
      <c r="L185" s="3">
        <v>8904</v>
      </c>
    </row>
    <row r="186" spans="1:12">
      <c r="A186" s="3" t="s">
        <v>116</v>
      </c>
      <c r="B186" s="25">
        <v>46211</v>
      </c>
      <c r="C186" s="3" t="s">
        <v>25</v>
      </c>
      <c r="D186" s="3" t="s">
        <v>25</v>
      </c>
      <c r="E186" s="3" t="s">
        <v>241</v>
      </c>
      <c r="F186" s="3" t="s">
        <v>242</v>
      </c>
      <c r="G186" s="3" t="s">
        <v>14</v>
      </c>
      <c r="H186" s="3" t="s">
        <v>28</v>
      </c>
      <c r="I186" s="3" t="s">
        <v>23</v>
      </c>
      <c r="J186" s="3">
        <v>14</v>
      </c>
      <c r="K186" s="3">
        <v>291</v>
      </c>
      <c r="L186" s="3">
        <v>4074</v>
      </c>
    </row>
    <row r="187" spans="1:12">
      <c r="A187" s="3" t="s">
        <v>116</v>
      </c>
      <c r="B187" s="25">
        <v>46211</v>
      </c>
      <c r="C187" s="3" t="s">
        <v>88</v>
      </c>
      <c r="D187" s="3" t="s">
        <v>25</v>
      </c>
      <c r="E187" s="3" t="s">
        <v>241</v>
      </c>
      <c r="F187" s="3" t="s">
        <v>242</v>
      </c>
      <c r="G187" s="3" t="s">
        <v>14</v>
      </c>
      <c r="H187" s="3" t="s">
        <v>15</v>
      </c>
      <c r="I187" s="3" t="s">
        <v>16</v>
      </c>
      <c r="J187" s="3">
        <v>5</v>
      </c>
      <c r="K187" s="3">
        <v>735</v>
      </c>
      <c r="L187" s="3">
        <v>3675</v>
      </c>
    </row>
    <row r="188" spans="1:12">
      <c r="A188" s="3" t="s">
        <v>153</v>
      </c>
      <c r="B188" s="25">
        <v>46212</v>
      </c>
      <c r="C188" s="3" t="s">
        <v>110</v>
      </c>
      <c r="D188" s="3" t="s">
        <v>95</v>
      </c>
      <c r="E188" s="3" t="s">
        <v>154</v>
      </c>
      <c r="F188" s="3" t="s">
        <v>71</v>
      </c>
      <c r="G188" s="3" t="s">
        <v>50</v>
      </c>
      <c r="H188" s="3" t="s">
        <v>58</v>
      </c>
      <c r="I188" s="3" t="s">
        <v>23</v>
      </c>
      <c r="J188" s="3">
        <v>25</v>
      </c>
      <c r="K188" s="3">
        <v>460</v>
      </c>
      <c r="L188" s="3">
        <v>11500</v>
      </c>
    </row>
    <row r="189" spans="1:12">
      <c r="A189" s="3" t="s">
        <v>153</v>
      </c>
      <c r="B189" s="25">
        <v>46212</v>
      </c>
      <c r="C189" s="3" t="s">
        <v>25</v>
      </c>
      <c r="D189" s="3" t="s">
        <v>25</v>
      </c>
      <c r="E189" s="3" t="s">
        <v>76</v>
      </c>
      <c r="F189" s="3" t="s">
        <v>77</v>
      </c>
      <c r="G189" s="3" t="s">
        <v>41</v>
      </c>
      <c r="H189" s="3" t="s">
        <v>28</v>
      </c>
      <c r="I189" s="3" t="s">
        <v>23</v>
      </c>
      <c r="J189" s="3">
        <v>22</v>
      </c>
      <c r="K189" s="3">
        <v>289</v>
      </c>
      <c r="L189" s="3">
        <v>6358</v>
      </c>
    </row>
    <row r="190" spans="1:12">
      <c r="A190" s="3" t="s">
        <v>287</v>
      </c>
      <c r="B190" s="25">
        <v>46212</v>
      </c>
      <c r="C190" s="3" t="s">
        <v>44</v>
      </c>
      <c r="D190" s="3" t="s">
        <v>44</v>
      </c>
      <c r="E190" s="3" t="s">
        <v>288</v>
      </c>
      <c r="F190" s="3" t="s">
        <v>164</v>
      </c>
      <c r="G190" s="3" t="s">
        <v>21</v>
      </c>
      <c r="H190" s="3" t="s">
        <v>58</v>
      </c>
      <c r="I190" s="3" t="s">
        <v>23</v>
      </c>
      <c r="J190" s="3">
        <v>10</v>
      </c>
      <c r="K190" s="3">
        <v>460</v>
      </c>
      <c r="L190" s="3">
        <v>4600</v>
      </c>
    </row>
    <row r="191" spans="1:12">
      <c r="A191" s="3" t="s">
        <v>153</v>
      </c>
      <c r="B191" s="25">
        <v>46212</v>
      </c>
      <c r="C191" s="3" t="s">
        <v>139</v>
      </c>
      <c r="D191" s="3" t="s">
        <v>139</v>
      </c>
      <c r="E191" s="3" t="s">
        <v>255</v>
      </c>
      <c r="F191" s="3" t="s">
        <v>27</v>
      </c>
      <c r="G191" s="3" t="s">
        <v>41</v>
      </c>
      <c r="H191" s="3" t="s">
        <v>15</v>
      </c>
      <c r="I191" s="3" t="s">
        <v>16</v>
      </c>
      <c r="J191" s="3">
        <v>22</v>
      </c>
      <c r="K191" s="3">
        <v>739</v>
      </c>
      <c r="L191" s="3">
        <v>16258</v>
      </c>
    </row>
    <row r="192" spans="1:12">
      <c r="A192" s="3" t="s">
        <v>328</v>
      </c>
      <c r="B192" s="25">
        <v>46212</v>
      </c>
      <c r="C192" s="3" t="s">
        <v>52</v>
      </c>
      <c r="D192" s="3" t="s">
        <v>25</v>
      </c>
      <c r="E192" s="3" t="s">
        <v>168</v>
      </c>
      <c r="F192" s="3" t="s">
        <v>115</v>
      </c>
      <c r="G192" s="3" t="s">
        <v>41</v>
      </c>
      <c r="H192" s="3" t="s">
        <v>33</v>
      </c>
      <c r="I192" s="3" t="s">
        <v>23</v>
      </c>
      <c r="J192" s="3">
        <v>25</v>
      </c>
      <c r="K192" s="3">
        <v>389</v>
      </c>
      <c r="L192" s="3">
        <v>9725</v>
      </c>
    </row>
    <row r="193" spans="1:12">
      <c r="A193" s="3" t="s">
        <v>119</v>
      </c>
      <c r="B193" s="25">
        <v>46213</v>
      </c>
      <c r="C193" s="3" t="s">
        <v>120</v>
      </c>
      <c r="D193" s="3" t="s">
        <v>120</v>
      </c>
      <c r="E193" s="3" t="s">
        <v>121</v>
      </c>
      <c r="F193" s="3" t="s">
        <v>63</v>
      </c>
      <c r="G193" s="3" t="s">
        <v>14</v>
      </c>
      <c r="H193" s="3" t="s">
        <v>15</v>
      </c>
      <c r="I193" s="3" t="s">
        <v>16</v>
      </c>
      <c r="J193" s="3">
        <v>16</v>
      </c>
      <c r="K193" s="3">
        <v>739</v>
      </c>
      <c r="L193" s="3">
        <v>11824</v>
      </c>
    </row>
    <row r="194" spans="1:12">
      <c r="A194" s="3" t="s">
        <v>141</v>
      </c>
      <c r="B194" s="25">
        <v>46213</v>
      </c>
      <c r="C194" s="3" t="s">
        <v>88</v>
      </c>
      <c r="D194" s="3" t="s">
        <v>25</v>
      </c>
      <c r="E194" s="3" t="s">
        <v>142</v>
      </c>
      <c r="F194" s="3" t="s">
        <v>137</v>
      </c>
      <c r="G194" s="3" t="s">
        <v>41</v>
      </c>
      <c r="H194" s="3" t="s">
        <v>42</v>
      </c>
      <c r="I194" s="3" t="s">
        <v>23</v>
      </c>
      <c r="J194" s="3">
        <v>23</v>
      </c>
      <c r="K194" s="3">
        <v>434</v>
      </c>
      <c r="L194" s="3">
        <v>9982</v>
      </c>
    </row>
    <row r="195" spans="1:12">
      <c r="A195" s="3" t="s">
        <v>167</v>
      </c>
      <c r="B195" s="25">
        <v>46213</v>
      </c>
      <c r="C195" s="3" t="s">
        <v>25</v>
      </c>
      <c r="D195" s="3" t="s">
        <v>25</v>
      </c>
      <c r="E195" s="3" t="s">
        <v>168</v>
      </c>
      <c r="F195" s="3" t="s">
        <v>115</v>
      </c>
      <c r="G195" s="3" t="s">
        <v>41</v>
      </c>
      <c r="H195" s="3" t="s">
        <v>42</v>
      </c>
      <c r="I195" s="3" t="s">
        <v>23</v>
      </c>
      <c r="J195" s="3">
        <v>2</v>
      </c>
      <c r="K195" s="3">
        <v>438</v>
      </c>
      <c r="L195" s="3">
        <v>876</v>
      </c>
    </row>
    <row r="196" spans="1:12">
      <c r="A196" s="3" t="s">
        <v>141</v>
      </c>
      <c r="B196" s="25">
        <v>46213</v>
      </c>
      <c r="C196" s="3" t="s">
        <v>95</v>
      </c>
      <c r="D196" s="3" t="s">
        <v>95</v>
      </c>
      <c r="E196" s="3" t="s">
        <v>228</v>
      </c>
      <c r="F196" s="3" t="s">
        <v>164</v>
      </c>
      <c r="G196" s="3" t="s">
        <v>41</v>
      </c>
      <c r="H196" s="3" t="s">
        <v>15</v>
      </c>
      <c r="I196" s="3" t="s">
        <v>16</v>
      </c>
      <c r="J196" s="3">
        <v>4</v>
      </c>
      <c r="K196" s="3">
        <v>741</v>
      </c>
      <c r="L196" s="3">
        <v>2964</v>
      </c>
    </row>
    <row r="197" spans="1:12">
      <c r="A197" s="3" t="s">
        <v>141</v>
      </c>
      <c r="B197" s="25">
        <v>46213</v>
      </c>
      <c r="C197" s="3" t="s">
        <v>11</v>
      </c>
      <c r="D197" s="3" t="s">
        <v>120</v>
      </c>
      <c r="E197" s="3" t="s">
        <v>56</v>
      </c>
      <c r="F197" s="3" t="s">
        <v>57</v>
      </c>
      <c r="G197" s="3" t="s">
        <v>32</v>
      </c>
      <c r="H197" s="3" t="s">
        <v>15</v>
      </c>
      <c r="I197" s="3" t="s">
        <v>16</v>
      </c>
      <c r="J197" s="3">
        <v>4</v>
      </c>
      <c r="K197" s="3">
        <v>756</v>
      </c>
      <c r="L197" s="3">
        <v>3024</v>
      </c>
    </row>
    <row r="198" spans="1:12">
      <c r="A198" s="3" t="s">
        <v>167</v>
      </c>
      <c r="B198" s="25">
        <v>46213</v>
      </c>
      <c r="C198" s="3" t="s">
        <v>139</v>
      </c>
      <c r="D198" s="3" t="s">
        <v>139</v>
      </c>
      <c r="E198" s="3" t="s">
        <v>240</v>
      </c>
      <c r="F198" s="3" t="s">
        <v>239</v>
      </c>
      <c r="G198" s="3" t="s">
        <v>21</v>
      </c>
      <c r="H198" s="3" t="s">
        <v>15</v>
      </c>
      <c r="I198" s="3" t="s">
        <v>16</v>
      </c>
      <c r="J198" s="3">
        <v>10</v>
      </c>
      <c r="K198" s="3">
        <v>757</v>
      </c>
      <c r="L198" s="3">
        <v>7570</v>
      </c>
    </row>
    <row r="199" spans="1:12">
      <c r="A199" s="3" t="s">
        <v>167</v>
      </c>
      <c r="B199" s="25">
        <v>46213</v>
      </c>
      <c r="C199" s="3" t="s">
        <v>88</v>
      </c>
      <c r="D199" s="3" t="s">
        <v>25</v>
      </c>
      <c r="E199" s="3" t="s">
        <v>82</v>
      </c>
      <c r="F199" s="3" t="s">
        <v>83</v>
      </c>
      <c r="G199" s="3" t="s">
        <v>41</v>
      </c>
      <c r="H199" s="3" t="s">
        <v>42</v>
      </c>
      <c r="I199" s="3" t="s">
        <v>23</v>
      </c>
      <c r="J199" s="3">
        <v>17</v>
      </c>
      <c r="K199" s="3">
        <v>436</v>
      </c>
      <c r="L199" s="3">
        <v>7412</v>
      </c>
    </row>
    <row r="200" spans="1:12">
      <c r="A200" s="3" t="s">
        <v>119</v>
      </c>
      <c r="B200" s="25">
        <v>46213</v>
      </c>
      <c r="C200" s="3" t="s">
        <v>18</v>
      </c>
      <c r="D200" s="3" t="s">
        <v>95</v>
      </c>
      <c r="E200" s="3" t="s">
        <v>19</v>
      </c>
      <c r="F200" s="3" t="s">
        <v>20</v>
      </c>
      <c r="G200" s="3" t="s">
        <v>21</v>
      </c>
      <c r="H200" s="3" t="s">
        <v>28</v>
      </c>
      <c r="I200" s="3" t="s">
        <v>23</v>
      </c>
      <c r="J200" s="3">
        <v>11</v>
      </c>
      <c r="K200" s="3">
        <v>288</v>
      </c>
      <c r="L200" s="3">
        <v>3168</v>
      </c>
    </row>
    <row r="201" spans="1:12">
      <c r="A201" s="3" t="s">
        <v>119</v>
      </c>
      <c r="B201" s="25">
        <v>46213</v>
      </c>
      <c r="C201" s="3" t="s">
        <v>88</v>
      </c>
      <c r="D201" s="3" t="s">
        <v>25</v>
      </c>
      <c r="E201" s="3" t="s">
        <v>301</v>
      </c>
      <c r="F201" s="3" t="s">
        <v>103</v>
      </c>
      <c r="G201" s="3" t="s">
        <v>14</v>
      </c>
      <c r="H201" s="3" t="s">
        <v>28</v>
      </c>
      <c r="I201" s="3" t="s">
        <v>23</v>
      </c>
      <c r="J201" s="3">
        <v>23</v>
      </c>
      <c r="K201" s="3">
        <v>274</v>
      </c>
      <c r="L201" s="3">
        <v>6302</v>
      </c>
    </row>
    <row r="202" spans="1:12">
      <c r="A202" s="3" t="s">
        <v>104</v>
      </c>
      <c r="B202" s="25">
        <v>46214</v>
      </c>
      <c r="C202" s="3" t="s">
        <v>18</v>
      </c>
      <c r="D202" s="3" t="s">
        <v>95</v>
      </c>
      <c r="E202" s="3" t="s">
        <v>105</v>
      </c>
      <c r="F202" s="3" t="s">
        <v>106</v>
      </c>
      <c r="G202" s="3" t="s">
        <v>50</v>
      </c>
      <c r="H202" s="3" t="s">
        <v>58</v>
      </c>
      <c r="I202" s="3" t="s">
        <v>23</v>
      </c>
      <c r="J202" s="3">
        <v>3</v>
      </c>
      <c r="K202" s="3">
        <v>453</v>
      </c>
      <c r="L202" s="3">
        <v>1359</v>
      </c>
    </row>
    <row r="203" spans="1:12">
      <c r="A203" s="3" t="s">
        <v>184</v>
      </c>
      <c r="B203" s="25">
        <v>46214</v>
      </c>
      <c r="C203" s="3" t="s">
        <v>120</v>
      </c>
      <c r="D203" s="3" t="s">
        <v>120</v>
      </c>
      <c r="E203" s="3" t="s">
        <v>185</v>
      </c>
      <c r="F203" s="3" t="s">
        <v>36</v>
      </c>
      <c r="G203" s="3" t="s">
        <v>50</v>
      </c>
      <c r="H203" s="3" t="s">
        <v>33</v>
      </c>
      <c r="I203" s="3" t="s">
        <v>23</v>
      </c>
      <c r="J203" s="3">
        <v>9</v>
      </c>
      <c r="K203" s="3">
        <v>383</v>
      </c>
      <c r="L203" s="3">
        <v>3447</v>
      </c>
    </row>
    <row r="204" spans="1:12">
      <c r="A204" s="3" t="s">
        <v>104</v>
      </c>
      <c r="B204" s="25">
        <v>46214</v>
      </c>
      <c r="C204" s="3" t="s">
        <v>52</v>
      </c>
      <c r="D204" s="3" t="s">
        <v>25</v>
      </c>
      <c r="E204" s="3" t="s">
        <v>76</v>
      </c>
      <c r="F204" s="3" t="s">
        <v>77</v>
      </c>
      <c r="G204" s="3" t="s">
        <v>41</v>
      </c>
      <c r="H204" s="3" t="s">
        <v>22</v>
      </c>
      <c r="I204" s="3" t="s">
        <v>23</v>
      </c>
      <c r="J204" s="3">
        <v>11</v>
      </c>
      <c r="K204" s="3">
        <v>416</v>
      </c>
      <c r="L204" s="3">
        <v>4576</v>
      </c>
    </row>
    <row r="205" spans="1:12">
      <c r="A205" s="3" t="s">
        <v>184</v>
      </c>
      <c r="B205" s="25">
        <v>46214</v>
      </c>
      <c r="C205" s="3" t="s">
        <v>108</v>
      </c>
      <c r="D205" s="3" t="s">
        <v>44</v>
      </c>
      <c r="E205" s="3" t="s">
        <v>31</v>
      </c>
      <c r="F205" s="3" t="s">
        <v>20</v>
      </c>
      <c r="G205" s="3" t="s">
        <v>32</v>
      </c>
      <c r="H205" s="3" t="s">
        <v>42</v>
      </c>
      <c r="I205" s="3" t="s">
        <v>23</v>
      </c>
      <c r="J205" s="3">
        <v>5</v>
      </c>
      <c r="K205" s="3">
        <v>418</v>
      </c>
      <c r="L205" s="3">
        <v>2090</v>
      </c>
    </row>
    <row r="206" spans="1:12">
      <c r="A206" s="3" t="s">
        <v>184</v>
      </c>
      <c r="B206" s="25">
        <v>46214</v>
      </c>
      <c r="C206" s="3" t="s">
        <v>38</v>
      </c>
      <c r="D206" s="3" t="s">
        <v>139</v>
      </c>
      <c r="E206" s="3" t="s">
        <v>114</v>
      </c>
      <c r="F206" s="3" t="s">
        <v>115</v>
      </c>
      <c r="G206" s="3" t="s">
        <v>41</v>
      </c>
      <c r="H206" s="3" t="s">
        <v>15</v>
      </c>
      <c r="I206" s="3" t="s">
        <v>16</v>
      </c>
      <c r="J206" s="3">
        <v>12</v>
      </c>
      <c r="K206" s="3">
        <v>762</v>
      </c>
      <c r="L206" s="3">
        <v>9144</v>
      </c>
    </row>
    <row r="207" spans="1:12">
      <c r="A207" s="3" t="s">
        <v>184</v>
      </c>
      <c r="B207" s="25">
        <v>46214</v>
      </c>
      <c r="C207" s="3" t="s">
        <v>18</v>
      </c>
      <c r="D207" s="3" t="s">
        <v>95</v>
      </c>
      <c r="E207" s="3" t="s">
        <v>217</v>
      </c>
      <c r="F207" s="3" t="s">
        <v>93</v>
      </c>
      <c r="G207" s="3" t="s">
        <v>14</v>
      </c>
      <c r="H207" s="3" t="s">
        <v>33</v>
      </c>
      <c r="I207" s="3" t="s">
        <v>23</v>
      </c>
      <c r="J207" s="3">
        <v>9</v>
      </c>
      <c r="K207" s="3">
        <v>384</v>
      </c>
      <c r="L207" s="3">
        <v>3456</v>
      </c>
    </row>
    <row r="208" spans="1:12">
      <c r="A208" s="3" t="s">
        <v>184</v>
      </c>
      <c r="B208" s="25">
        <v>46214</v>
      </c>
      <c r="C208" s="3" t="s">
        <v>11</v>
      </c>
      <c r="D208" s="3" t="s">
        <v>120</v>
      </c>
      <c r="E208" s="3" t="s">
        <v>125</v>
      </c>
      <c r="F208" s="3" t="s">
        <v>112</v>
      </c>
      <c r="G208" s="3" t="s">
        <v>32</v>
      </c>
      <c r="H208" s="3" t="s">
        <v>58</v>
      </c>
      <c r="I208" s="3" t="s">
        <v>23</v>
      </c>
      <c r="J208" s="3">
        <v>5</v>
      </c>
      <c r="K208" s="3">
        <v>472</v>
      </c>
      <c r="L208" s="3">
        <v>2360</v>
      </c>
    </row>
    <row r="209" spans="1:12">
      <c r="A209" s="3" t="s">
        <v>254</v>
      </c>
      <c r="B209" s="25">
        <v>46215</v>
      </c>
      <c r="C209" s="3" t="s">
        <v>139</v>
      </c>
      <c r="D209" s="3" t="s">
        <v>139</v>
      </c>
      <c r="E209" s="3" t="s">
        <v>255</v>
      </c>
      <c r="F209" s="3" t="s">
        <v>27</v>
      </c>
      <c r="G209" s="3" t="s">
        <v>41</v>
      </c>
      <c r="H209" s="3" t="s">
        <v>33</v>
      </c>
      <c r="I209" s="3" t="s">
        <v>23</v>
      </c>
      <c r="J209" s="3">
        <v>18</v>
      </c>
      <c r="K209" s="3">
        <v>404</v>
      </c>
      <c r="L209" s="3">
        <v>7272</v>
      </c>
    </row>
    <row r="210" spans="1:12">
      <c r="A210" s="3" t="s">
        <v>268</v>
      </c>
      <c r="B210" s="25">
        <v>46215</v>
      </c>
      <c r="C210" s="3" t="s">
        <v>25</v>
      </c>
      <c r="D210" s="3" t="s">
        <v>25</v>
      </c>
      <c r="E210" s="3" t="s">
        <v>82</v>
      </c>
      <c r="F210" s="3" t="s">
        <v>83</v>
      </c>
      <c r="G210" s="3" t="s">
        <v>41</v>
      </c>
      <c r="H210" s="3" t="s">
        <v>15</v>
      </c>
      <c r="I210" s="3" t="s">
        <v>16</v>
      </c>
      <c r="J210" s="3">
        <v>12</v>
      </c>
      <c r="K210" s="3">
        <v>765</v>
      </c>
      <c r="L210" s="3">
        <v>9180</v>
      </c>
    </row>
    <row r="211" spans="1:12">
      <c r="A211" s="3" t="s">
        <v>285</v>
      </c>
      <c r="B211" s="25">
        <v>46215</v>
      </c>
      <c r="C211" s="3" t="s">
        <v>11</v>
      </c>
      <c r="D211" s="3" t="s">
        <v>120</v>
      </c>
      <c r="E211" s="3" t="s">
        <v>121</v>
      </c>
      <c r="F211" s="3" t="s">
        <v>63</v>
      </c>
      <c r="G211" s="3" t="s">
        <v>14</v>
      </c>
      <c r="H211" s="3" t="s">
        <v>22</v>
      </c>
      <c r="I211" s="3" t="s">
        <v>23</v>
      </c>
      <c r="J211" s="3">
        <v>3</v>
      </c>
      <c r="K211" s="3">
        <v>404</v>
      </c>
      <c r="L211" s="3">
        <v>1212</v>
      </c>
    </row>
    <row r="212" spans="1:12">
      <c r="A212" s="3" t="s">
        <v>254</v>
      </c>
      <c r="B212" s="25">
        <v>46215</v>
      </c>
      <c r="C212" s="3" t="s">
        <v>11</v>
      </c>
      <c r="D212" s="3" t="s">
        <v>120</v>
      </c>
      <c r="E212" s="3" t="s">
        <v>185</v>
      </c>
      <c r="F212" s="3" t="s">
        <v>36</v>
      </c>
      <c r="G212" s="3" t="s">
        <v>50</v>
      </c>
      <c r="H212" s="3" t="s">
        <v>28</v>
      </c>
      <c r="I212" s="3" t="s">
        <v>23</v>
      </c>
      <c r="J212" s="3">
        <v>25</v>
      </c>
      <c r="K212" s="3">
        <v>274</v>
      </c>
      <c r="L212" s="3">
        <v>6850</v>
      </c>
    </row>
    <row r="213" spans="1:12">
      <c r="A213" s="3" t="s">
        <v>268</v>
      </c>
      <c r="B213" s="25">
        <v>46215</v>
      </c>
      <c r="C213" s="3" t="s">
        <v>88</v>
      </c>
      <c r="D213" s="3" t="s">
        <v>25</v>
      </c>
      <c r="E213" s="3" t="s">
        <v>102</v>
      </c>
      <c r="F213" s="3" t="s">
        <v>103</v>
      </c>
      <c r="G213" s="3" t="s">
        <v>14</v>
      </c>
      <c r="H213" s="3" t="s">
        <v>42</v>
      </c>
      <c r="I213" s="3" t="s">
        <v>23</v>
      </c>
      <c r="J213" s="3">
        <v>24</v>
      </c>
      <c r="K213" s="3">
        <v>413</v>
      </c>
      <c r="L213" s="3">
        <v>9912</v>
      </c>
    </row>
    <row r="214" spans="1:12">
      <c r="A214" s="3" t="s">
        <v>285</v>
      </c>
      <c r="B214" s="25">
        <v>46215</v>
      </c>
      <c r="C214" s="3" t="s">
        <v>30</v>
      </c>
      <c r="D214" s="3" t="s">
        <v>44</v>
      </c>
      <c r="E214" s="3" t="s">
        <v>147</v>
      </c>
      <c r="F214" s="3" t="s">
        <v>49</v>
      </c>
      <c r="G214" s="3" t="s">
        <v>21</v>
      </c>
      <c r="H214" s="3" t="s">
        <v>33</v>
      </c>
      <c r="I214" s="3" t="s">
        <v>23</v>
      </c>
      <c r="J214" s="3">
        <v>24</v>
      </c>
      <c r="K214" s="3">
        <v>397</v>
      </c>
      <c r="L214" s="3">
        <v>9528</v>
      </c>
    </row>
    <row r="215" spans="1:12">
      <c r="A215" s="3" t="s">
        <v>161</v>
      </c>
      <c r="B215" s="25">
        <v>46216</v>
      </c>
      <c r="C215" s="3" t="s">
        <v>95</v>
      </c>
      <c r="D215" s="3" t="s">
        <v>95</v>
      </c>
      <c r="E215" s="3" t="s">
        <v>19</v>
      </c>
      <c r="F215" s="3" t="s">
        <v>20</v>
      </c>
      <c r="G215" s="3" t="s">
        <v>21</v>
      </c>
      <c r="H215" s="3" t="s">
        <v>22</v>
      </c>
      <c r="I215" s="3" t="s">
        <v>23</v>
      </c>
      <c r="J215" s="3">
        <v>5</v>
      </c>
      <c r="K215" s="3">
        <v>395</v>
      </c>
      <c r="L215" s="3">
        <v>1975</v>
      </c>
    </row>
    <row r="216" spans="1:12">
      <c r="A216" s="3" t="s">
        <v>279</v>
      </c>
      <c r="B216" s="25">
        <v>46216</v>
      </c>
      <c r="C216" s="3" t="s">
        <v>120</v>
      </c>
      <c r="D216" s="3" t="s">
        <v>120</v>
      </c>
      <c r="E216" s="3" t="s">
        <v>188</v>
      </c>
      <c r="F216" s="3" t="s">
        <v>152</v>
      </c>
      <c r="G216" s="3" t="s">
        <v>21</v>
      </c>
      <c r="H216" s="3" t="s">
        <v>22</v>
      </c>
      <c r="I216" s="3" t="s">
        <v>23</v>
      </c>
      <c r="J216" s="3">
        <v>15</v>
      </c>
      <c r="K216" s="3">
        <v>396</v>
      </c>
      <c r="L216" s="3">
        <v>5940</v>
      </c>
    </row>
    <row r="217" spans="1:12">
      <c r="A217" s="3" t="s">
        <v>252</v>
      </c>
      <c r="B217" s="25">
        <v>46217</v>
      </c>
      <c r="C217" s="3" t="s">
        <v>139</v>
      </c>
      <c r="D217" s="3" t="s">
        <v>139</v>
      </c>
      <c r="E217" s="3" t="s">
        <v>253</v>
      </c>
      <c r="F217" s="3" t="s">
        <v>239</v>
      </c>
      <c r="G217" s="3" t="s">
        <v>21</v>
      </c>
      <c r="H217" s="3" t="s">
        <v>42</v>
      </c>
      <c r="I217" s="3" t="s">
        <v>23</v>
      </c>
      <c r="J217" s="3">
        <v>23</v>
      </c>
      <c r="K217" s="3">
        <v>431</v>
      </c>
      <c r="L217" s="3">
        <v>9913</v>
      </c>
    </row>
    <row r="218" spans="1:12">
      <c r="A218" s="3" t="s">
        <v>259</v>
      </c>
      <c r="B218" s="25">
        <v>46217</v>
      </c>
      <c r="C218" s="3" t="s">
        <v>25</v>
      </c>
      <c r="D218" s="3" t="s">
        <v>25</v>
      </c>
      <c r="E218" s="3" t="s">
        <v>241</v>
      </c>
      <c r="F218" s="3" t="s">
        <v>242</v>
      </c>
      <c r="G218" s="3" t="s">
        <v>14</v>
      </c>
      <c r="H218" s="3" t="s">
        <v>15</v>
      </c>
      <c r="I218" s="3" t="s">
        <v>16</v>
      </c>
      <c r="J218" s="3">
        <v>25</v>
      </c>
      <c r="K218" s="3">
        <v>744</v>
      </c>
      <c r="L218" s="3">
        <v>18600</v>
      </c>
    </row>
    <row r="219" spans="1:12">
      <c r="A219" s="3" t="s">
        <v>252</v>
      </c>
      <c r="B219" s="25">
        <v>46217</v>
      </c>
      <c r="C219" s="3" t="s">
        <v>120</v>
      </c>
      <c r="D219" s="3" t="s">
        <v>120</v>
      </c>
      <c r="E219" s="3" t="s">
        <v>149</v>
      </c>
      <c r="F219" s="3" t="s">
        <v>115</v>
      </c>
      <c r="G219" s="3" t="s">
        <v>50</v>
      </c>
      <c r="H219" s="3" t="s">
        <v>15</v>
      </c>
      <c r="I219" s="3" t="s">
        <v>16</v>
      </c>
      <c r="J219" s="3">
        <v>19</v>
      </c>
      <c r="K219" s="3">
        <v>745</v>
      </c>
      <c r="L219" s="3">
        <v>14155</v>
      </c>
    </row>
    <row r="220" spans="1:12">
      <c r="A220" s="3" t="s">
        <v>252</v>
      </c>
      <c r="B220" s="25">
        <v>46217</v>
      </c>
      <c r="C220" s="3" t="s">
        <v>120</v>
      </c>
      <c r="D220" s="3" t="s">
        <v>120</v>
      </c>
      <c r="E220" s="3" t="s">
        <v>92</v>
      </c>
      <c r="F220" s="3" t="s">
        <v>93</v>
      </c>
      <c r="G220" s="3" t="s">
        <v>14</v>
      </c>
      <c r="H220" s="3" t="s">
        <v>15</v>
      </c>
      <c r="I220" s="3" t="s">
        <v>16</v>
      </c>
      <c r="J220" s="3">
        <v>21</v>
      </c>
      <c r="K220" s="3">
        <v>765</v>
      </c>
      <c r="L220" s="3">
        <v>16065</v>
      </c>
    </row>
    <row r="221" spans="1:12">
      <c r="A221" s="3" t="s">
        <v>259</v>
      </c>
      <c r="B221" s="25">
        <v>46217</v>
      </c>
      <c r="C221" s="3" t="s">
        <v>11</v>
      </c>
      <c r="D221" s="3" t="s">
        <v>120</v>
      </c>
      <c r="E221" s="3" t="s">
        <v>308</v>
      </c>
      <c r="F221" s="3" t="s">
        <v>128</v>
      </c>
      <c r="G221" s="3" t="s">
        <v>14</v>
      </c>
      <c r="H221" s="3" t="s">
        <v>42</v>
      </c>
      <c r="I221" s="3" t="s">
        <v>23</v>
      </c>
      <c r="J221" s="3">
        <v>9</v>
      </c>
      <c r="K221" s="3">
        <v>434</v>
      </c>
      <c r="L221" s="3">
        <v>3906</v>
      </c>
    </row>
    <row r="222" spans="1:12">
      <c r="A222" s="3" t="s">
        <v>259</v>
      </c>
      <c r="B222" s="25">
        <v>46217</v>
      </c>
      <c r="C222" s="3" t="s">
        <v>18</v>
      </c>
      <c r="D222" s="3" t="s">
        <v>95</v>
      </c>
      <c r="E222" s="3" t="s">
        <v>134</v>
      </c>
      <c r="F222" s="3" t="s">
        <v>106</v>
      </c>
      <c r="G222" s="3" t="s">
        <v>41</v>
      </c>
      <c r="H222" s="3" t="s">
        <v>42</v>
      </c>
      <c r="I222" s="3" t="s">
        <v>23</v>
      </c>
      <c r="J222" s="3">
        <v>8</v>
      </c>
      <c r="K222" s="3">
        <v>422</v>
      </c>
      <c r="L222" s="3">
        <v>3376</v>
      </c>
    </row>
    <row r="223" spans="1:12">
      <c r="A223" s="3" t="s">
        <v>218</v>
      </c>
      <c r="B223" s="25">
        <v>46218</v>
      </c>
      <c r="C223" s="3" t="s">
        <v>108</v>
      </c>
      <c r="D223" s="3" t="s">
        <v>44</v>
      </c>
      <c r="E223" s="3" t="s">
        <v>147</v>
      </c>
      <c r="F223" s="3" t="s">
        <v>49</v>
      </c>
      <c r="G223" s="3" t="s">
        <v>21</v>
      </c>
      <c r="H223" s="3" t="s">
        <v>33</v>
      </c>
      <c r="I223" s="3" t="s">
        <v>23</v>
      </c>
      <c r="J223" s="3">
        <v>12</v>
      </c>
      <c r="K223" s="3">
        <v>401</v>
      </c>
      <c r="L223" s="3">
        <v>4812</v>
      </c>
    </row>
    <row r="224" spans="1:12">
      <c r="A224" s="3" t="s">
        <v>237</v>
      </c>
      <c r="B224" s="25">
        <v>46218</v>
      </c>
      <c r="C224" s="3" t="s">
        <v>52</v>
      </c>
      <c r="D224" s="3" t="s">
        <v>25</v>
      </c>
      <c r="E224" s="3" t="s">
        <v>238</v>
      </c>
      <c r="F224" s="3" t="s">
        <v>239</v>
      </c>
      <c r="G224" s="3" t="s">
        <v>14</v>
      </c>
      <c r="H224" s="3" t="s">
        <v>33</v>
      </c>
      <c r="I224" s="3" t="s">
        <v>23</v>
      </c>
      <c r="J224" s="3">
        <v>25</v>
      </c>
      <c r="K224" s="3">
        <v>396</v>
      </c>
      <c r="L224" s="3">
        <v>9900</v>
      </c>
    </row>
    <row r="225" spans="1:12">
      <c r="A225" s="3" t="s">
        <v>218</v>
      </c>
      <c r="B225" s="25">
        <v>46218</v>
      </c>
      <c r="C225" s="3" t="s">
        <v>110</v>
      </c>
      <c r="D225" s="3" t="s">
        <v>95</v>
      </c>
      <c r="E225" s="3" t="s">
        <v>134</v>
      </c>
      <c r="F225" s="3" t="s">
        <v>106</v>
      </c>
      <c r="G225" s="3" t="s">
        <v>41</v>
      </c>
      <c r="H225" s="3" t="s">
        <v>42</v>
      </c>
      <c r="I225" s="3" t="s">
        <v>23</v>
      </c>
      <c r="J225" s="3">
        <v>11</v>
      </c>
      <c r="K225" s="3">
        <v>428</v>
      </c>
      <c r="L225" s="3">
        <v>4708</v>
      </c>
    </row>
    <row r="226" spans="1:12">
      <c r="A226" s="3" t="s">
        <v>218</v>
      </c>
      <c r="B226" s="25">
        <v>46218</v>
      </c>
      <c r="C226" s="3" t="s">
        <v>110</v>
      </c>
      <c r="D226" s="3" t="s">
        <v>95</v>
      </c>
      <c r="E226" s="3" t="s">
        <v>220</v>
      </c>
      <c r="F226" s="3" t="s">
        <v>221</v>
      </c>
      <c r="G226" s="3" t="s">
        <v>21</v>
      </c>
      <c r="H226" s="3" t="s">
        <v>58</v>
      </c>
      <c r="I226" s="3" t="s">
        <v>23</v>
      </c>
      <c r="J226" s="3">
        <v>16</v>
      </c>
      <c r="K226" s="3">
        <v>459</v>
      </c>
      <c r="L226" s="3">
        <v>7344</v>
      </c>
    </row>
    <row r="227" spans="1:12">
      <c r="A227" s="3" t="s">
        <v>318</v>
      </c>
      <c r="B227" s="25">
        <v>46218</v>
      </c>
      <c r="C227" s="3" t="s">
        <v>120</v>
      </c>
      <c r="D227" s="3" t="s">
        <v>120</v>
      </c>
      <c r="E227" s="3" t="s">
        <v>149</v>
      </c>
      <c r="F227" s="3" t="s">
        <v>115</v>
      </c>
      <c r="G227" s="3" t="s">
        <v>50</v>
      </c>
      <c r="H227" s="3" t="s">
        <v>33</v>
      </c>
      <c r="I227" s="3" t="s">
        <v>23</v>
      </c>
      <c r="J227" s="3">
        <v>17</v>
      </c>
      <c r="K227" s="3">
        <v>408</v>
      </c>
      <c r="L227" s="3">
        <v>6936</v>
      </c>
    </row>
    <row r="228" spans="1:12">
      <c r="A228" s="3" t="s">
        <v>318</v>
      </c>
      <c r="B228" s="25">
        <v>46218</v>
      </c>
      <c r="C228" s="3" t="s">
        <v>52</v>
      </c>
      <c r="D228" s="3" t="s">
        <v>25</v>
      </c>
      <c r="E228" s="3" t="s">
        <v>142</v>
      </c>
      <c r="F228" s="3" t="s">
        <v>137</v>
      </c>
      <c r="G228" s="3" t="s">
        <v>41</v>
      </c>
      <c r="H228" s="3" t="s">
        <v>33</v>
      </c>
      <c r="I228" s="3" t="s">
        <v>23</v>
      </c>
      <c r="J228" s="3">
        <v>1</v>
      </c>
      <c r="K228" s="3">
        <v>380</v>
      </c>
      <c r="L228" s="3">
        <v>380</v>
      </c>
    </row>
    <row r="229" spans="1:12">
      <c r="A229" s="3" t="s">
        <v>55</v>
      </c>
      <c r="B229" s="25">
        <v>46219</v>
      </c>
      <c r="C229" s="3" t="s">
        <v>11</v>
      </c>
      <c r="D229" s="3" t="s">
        <v>120</v>
      </c>
      <c r="E229" s="3" t="s">
        <v>56</v>
      </c>
      <c r="F229" s="3" t="s">
        <v>57</v>
      </c>
      <c r="G229" s="3" t="s">
        <v>32</v>
      </c>
      <c r="H229" s="3" t="s">
        <v>58</v>
      </c>
      <c r="I229" s="3" t="s">
        <v>23</v>
      </c>
      <c r="J229" s="3">
        <v>16</v>
      </c>
      <c r="K229" s="3">
        <v>475</v>
      </c>
      <c r="L229" s="3">
        <v>7600</v>
      </c>
    </row>
    <row r="230" spans="1:12">
      <c r="A230" s="3" t="s">
        <v>55</v>
      </c>
      <c r="B230" s="25">
        <v>46219</v>
      </c>
      <c r="C230" s="3" t="s">
        <v>110</v>
      </c>
      <c r="D230" s="3" t="s">
        <v>95</v>
      </c>
      <c r="E230" s="3" t="s">
        <v>111</v>
      </c>
      <c r="F230" s="3" t="s">
        <v>112</v>
      </c>
      <c r="G230" s="3" t="s">
        <v>50</v>
      </c>
      <c r="H230" s="3" t="s">
        <v>15</v>
      </c>
      <c r="I230" s="3" t="s">
        <v>16</v>
      </c>
      <c r="J230" s="3">
        <v>22</v>
      </c>
      <c r="K230" s="3">
        <v>742</v>
      </c>
      <c r="L230" s="3">
        <v>16324</v>
      </c>
    </row>
    <row r="231" spans="1:12">
      <c r="A231" s="3" t="s">
        <v>55</v>
      </c>
      <c r="B231" s="25">
        <v>46219</v>
      </c>
      <c r="C231" s="3" t="s">
        <v>38</v>
      </c>
      <c r="D231" s="3" t="s">
        <v>139</v>
      </c>
      <c r="E231" s="3" t="s">
        <v>114</v>
      </c>
      <c r="F231" s="3" t="s">
        <v>115</v>
      </c>
      <c r="G231" s="3" t="s">
        <v>41</v>
      </c>
      <c r="H231" s="3" t="s">
        <v>22</v>
      </c>
      <c r="I231" s="3" t="s">
        <v>23</v>
      </c>
      <c r="J231" s="3">
        <v>13</v>
      </c>
      <c r="K231" s="3">
        <v>400</v>
      </c>
      <c r="L231" s="3">
        <v>5200</v>
      </c>
    </row>
    <row r="232" spans="1:12">
      <c r="A232" s="3" t="s">
        <v>248</v>
      </c>
      <c r="B232" s="25">
        <v>46219</v>
      </c>
      <c r="C232" s="3" t="s">
        <v>139</v>
      </c>
      <c r="D232" s="3" t="s">
        <v>139</v>
      </c>
      <c r="E232" s="3" t="s">
        <v>249</v>
      </c>
      <c r="F232" s="3" t="s">
        <v>106</v>
      </c>
      <c r="G232" s="3" t="s">
        <v>41</v>
      </c>
      <c r="H232" s="3" t="s">
        <v>58</v>
      </c>
      <c r="I232" s="3" t="s">
        <v>23</v>
      </c>
      <c r="J232" s="4"/>
      <c r="K232" s="3">
        <v>462</v>
      </c>
      <c r="L232" s="4"/>
    </row>
    <row r="233" spans="1:12">
      <c r="A233" s="3" t="s">
        <v>283</v>
      </c>
      <c r="B233" s="25">
        <v>46219</v>
      </c>
      <c r="C233" s="3" t="s">
        <v>110</v>
      </c>
      <c r="D233" s="3" t="s">
        <v>95</v>
      </c>
      <c r="E233" s="3" t="s">
        <v>228</v>
      </c>
      <c r="F233" s="3" t="s">
        <v>164</v>
      </c>
      <c r="G233" s="3" t="s">
        <v>41</v>
      </c>
      <c r="H233" s="3" t="s">
        <v>22</v>
      </c>
      <c r="I233" s="3" t="s">
        <v>23</v>
      </c>
      <c r="J233" s="3">
        <v>4</v>
      </c>
      <c r="K233" s="3">
        <v>412</v>
      </c>
      <c r="L233" s="3">
        <v>1648</v>
      </c>
    </row>
    <row r="234" spans="1:12">
      <c r="A234" s="3" t="s">
        <v>283</v>
      </c>
      <c r="B234" s="25">
        <v>46219</v>
      </c>
      <c r="C234" s="3" t="s">
        <v>11</v>
      </c>
      <c r="D234" s="3" t="s">
        <v>120</v>
      </c>
      <c r="E234" s="3" t="s">
        <v>284</v>
      </c>
      <c r="F234" s="3" t="s">
        <v>66</v>
      </c>
      <c r="G234" s="3" t="s">
        <v>14</v>
      </c>
      <c r="H234" s="3" t="s">
        <v>28</v>
      </c>
      <c r="I234" s="3" t="s">
        <v>23</v>
      </c>
      <c r="J234" s="3">
        <v>3</v>
      </c>
      <c r="K234" s="3">
        <v>286</v>
      </c>
      <c r="L234" s="3">
        <v>858</v>
      </c>
    </row>
    <row r="235" spans="1:12">
      <c r="A235" s="3" t="s">
        <v>55</v>
      </c>
      <c r="B235" s="25">
        <v>46219</v>
      </c>
      <c r="C235" s="3" t="s">
        <v>18</v>
      </c>
      <c r="D235" s="3" t="s">
        <v>95</v>
      </c>
      <c r="E235" s="3" t="s">
        <v>117</v>
      </c>
      <c r="F235" s="3" t="s">
        <v>118</v>
      </c>
      <c r="G235" s="3" t="s">
        <v>21</v>
      </c>
      <c r="H235" s="3" t="s">
        <v>42</v>
      </c>
      <c r="I235" s="3" t="s">
        <v>23</v>
      </c>
      <c r="J235" s="3">
        <v>14</v>
      </c>
      <c r="K235" s="3">
        <v>422</v>
      </c>
      <c r="L235" s="3">
        <v>5908</v>
      </c>
    </row>
    <row r="236" spans="1:12">
      <c r="A236" s="3" t="s">
        <v>201</v>
      </c>
      <c r="B236" s="25">
        <v>46220</v>
      </c>
      <c r="C236" s="3" t="s">
        <v>95</v>
      </c>
      <c r="D236" s="3" t="s">
        <v>95</v>
      </c>
      <c r="E236" s="3" t="s">
        <v>19</v>
      </c>
      <c r="F236" s="3" t="s">
        <v>20</v>
      </c>
      <c r="G236" s="3" t="s">
        <v>21</v>
      </c>
      <c r="H236" s="3" t="s">
        <v>22</v>
      </c>
      <c r="I236" s="3" t="s">
        <v>23</v>
      </c>
      <c r="J236" s="3">
        <v>13</v>
      </c>
      <c r="K236" s="3">
        <v>405</v>
      </c>
      <c r="L236" s="3">
        <v>5265</v>
      </c>
    </row>
    <row r="237" spans="1:12">
      <c r="A237" s="3" t="s">
        <v>304</v>
      </c>
      <c r="B237" s="25">
        <v>46220</v>
      </c>
      <c r="C237" s="3" t="s">
        <v>38</v>
      </c>
      <c r="D237" s="3" t="s">
        <v>139</v>
      </c>
      <c r="E237" s="3" t="s">
        <v>166</v>
      </c>
      <c r="F237" s="3" t="s">
        <v>106</v>
      </c>
      <c r="G237" s="3" t="s">
        <v>14</v>
      </c>
      <c r="H237" s="3" t="s">
        <v>58</v>
      </c>
      <c r="I237" s="3" t="s">
        <v>23</v>
      </c>
      <c r="J237" s="3">
        <v>24</v>
      </c>
      <c r="K237" s="3">
        <v>476</v>
      </c>
      <c r="L237" s="3">
        <v>11424</v>
      </c>
    </row>
    <row r="238" spans="1:12">
      <c r="A238" s="3" t="s">
        <v>201</v>
      </c>
      <c r="B238" s="25">
        <v>46220</v>
      </c>
      <c r="C238" s="3" t="s">
        <v>108</v>
      </c>
      <c r="D238" s="3" t="s">
        <v>44</v>
      </c>
      <c r="E238" s="3" t="s">
        <v>31</v>
      </c>
      <c r="F238" s="3" t="s">
        <v>20</v>
      </c>
      <c r="G238" s="3" t="s">
        <v>32</v>
      </c>
      <c r="H238" s="3" t="s">
        <v>33</v>
      </c>
      <c r="I238" s="3" t="s">
        <v>23</v>
      </c>
      <c r="J238" s="3">
        <v>20</v>
      </c>
      <c r="K238" s="3">
        <v>405</v>
      </c>
      <c r="L238" s="3">
        <v>8100</v>
      </c>
    </row>
    <row r="239" spans="1:12">
      <c r="A239" s="3" t="s">
        <v>201</v>
      </c>
      <c r="B239" s="25">
        <v>46220</v>
      </c>
      <c r="C239" s="3" t="s">
        <v>120</v>
      </c>
      <c r="D239" s="3" t="s">
        <v>120</v>
      </c>
      <c r="E239" s="3" t="s">
        <v>315</v>
      </c>
      <c r="F239" s="3" t="s">
        <v>63</v>
      </c>
      <c r="G239" s="3" t="s">
        <v>14</v>
      </c>
      <c r="H239" s="3" t="s">
        <v>42</v>
      </c>
      <c r="I239" s="3" t="s">
        <v>23</v>
      </c>
      <c r="J239" s="3">
        <v>10</v>
      </c>
      <c r="K239" s="3">
        <v>420</v>
      </c>
      <c r="L239" s="3">
        <v>4200</v>
      </c>
    </row>
    <row r="240" spans="1:12">
      <c r="A240" s="3" t="s">
        <v>182</v>
      </c>
      <c r="B240" s="25">
        <v>46221</v>
      </c>
      <c r="C240" s="3" t="s">
        <v>18</v>
      </c>
      <c r="D240" s="3" t="s">
        <v>95</v>
      </c>
      <c r="E240" s="3" t="s">
        <v>144</v>
      </c>
      <c r="F240" s="3" t="s">
        <v>118</v>
      </c>
      <c r="G240" s="3" t="s">
        <v>50</v>
      </c>
      <c r="H240" s="3" t="s">
        <v>15</v>
      </c>
      <c r="I240" s="3" t="s">
        <v>16</v>
      </c>
      <c r="J240" s="3">
        <v>2</v>
      </c>
      <c r="K240" s="3">
        <v>760</v>
      </c>
      <c r="L240" s="3">
        <v>1520</v>
      </c>
    </row>
    <row r="241" spans="1:12">
      <c r="A241" s="3" t="s">
        <v>187</v>
      </c>
      <c r="B241" s="25">
        <v>46221</v>
      </c>
      <c r="C241" s="3" t="s">
        <v>120</v>
      </c>
      <c r="D241" s="3" t="s">
        <v>120</v>
      </c>
      <c r="E241" s="3" t="s">
        <v>188</v>
      </c>
      <c r="F241" s="3" t="s">
        <v>152</v>
      </c>
      <c r="G241" s="3" t="s">
        <v>21</v>
      </c>
      <c r="H241" s="3" t="s">
        <v>22</v>
      </c>
      <c r="I241" s="3" t="s">
        <v>23</v>
      </c>
      <c r="J241" s="3">
        <v>21</v>
      </c>
      <c r="K241" s="3">
        <v>410</v>
      </c>
      <c r="L241" s="3">
        <v>8610</v>
      </c>
    </row>
    <row r="242" spans="1:12">
      <c r="A242" s="3" t="s">
        <v>182</v>
      </c>
      <c r="B242" s="25">
        <v>46221</v>
      </c>
      <c r="C242" s="3" t="s">
        <v>120</v>
      </c>
      <c r="D242" s="3" t="s">
        <v>120</v>
      </c>
      <c r="E242" s="3" t="s">
        <v>149</v>
      </c>
      <c r="F242" s="3" t="s">
        <v>115</v>
      </c>
      <c r="G242" s="3" t="s">
        <v>50</v>
      </c>
      <c r="H242" s="3" t="s">
        <v>28</v>
      </c>
      <c r="I242" s="3" t="s">
        <v>23</v>
      </c>
      <c r="J242" s="3">
        <v>12</v>
      </c>
      <c r="K242" s="3">
        <v>287</v>
      </c>
      <c r="L242" s="3">
        <v>3444</v>
      </c>
    </row>
    <row r="243" spans="1:12">
      <c r="A243" s="3" t="s">
        <v>107</v>
      </c>
      <c r="B243" s="25">
        <v>46222</v>
      </c>
      <c r="C243" s="3" t="s">
        <v>108</v>
      </c>
      <c r="D243" s="3" t="s">
        <v>44</v>
      </c>
      <c r="E243" s="3" t="s">
        <v>48</v>
      </c>
      <c r="F243" s="3" t="s">
        <v>49</v>
      </c>
      <c r="G243" s="3" t="s">
        <v>50</v>
      </c>
      <c r="H243" s="3" t="s">
        <v>42</v>
      </c>
      <c r="I243" s="3" t="s">
        <v>23</v>
      </c>
      <c r="J243" s="3">
        <v>24</v>
      </c>
      <c r="K243" s="3">
        <v>439</v>
      </c>
      <c r="L243" s="3">
        <v>10536</v>
      </c>
    </row>
    <row r="244" spans="1:12">
      <c r="A244" s="3" t="s">
        <v>107</v>
      </c>
      <c r="B244" s="25">
        <v>46222</v>
      </c>
      <c r="C244" s="3" t="s">
        <v>38</v>
      </c>
      <c r="D244" s="3" t="s">
        <v>139</v>
      </c>
      <c r="E244" s="3" t="s">
        <v>270</v>
      </c>
      <c r="F244" s="3" t="s">
        <v>160</v>
      </c>
      <c r="G244" s="3" t="s">
        <v>50</v>
      </c>
      <c r="H244" s="3" t="s">
        <v>22</v>
      </c>
      <c r="I244" s="3" t="s">
        <v>23</v>
      </c>
      <c r="J244" s="3">
        <v>16</v>
      </c>
      <c r="K244" s="3">
        <v>406</v>
      </c>
      <c r="L244" s="3">
        <v>6496</v>
      </c>
    </row>
    <row r="245" spans="1:12">
      <c r="A245" s="3" t="s">
        <v>75</v>
      </c>
      <c r="B245" s="25">
        <v>46223</v>
      </c>
      <c r="C245" s="3" t="s">
        <v>52</v>
      </c>
      <c r="D245" s="3" t="s">
        <v>25</v>
      </c>
      <c r="E245" s="3" t="s">
        <v>76</v>
      </c>
      <c r="F245" s="3" t="s">
        <v>77</v>
      </c>
      <c r="G245" s="3" t="s">
        <v>41</v>
      </c>
      <c r="H245" s="3" t="s">
        <v>15</v>
      </c>
      <c r="I245" s="3" t="s">
        <v>16</v>
      </c>
      <c r="J245" s="3">
        <v>12</v>
      </c>
      <c r="K245" s="3">
        <v>744</v>
      </c>
      <c r="L245" s="3">
        <v>8928</v>
      </c>
    </row>
    <row r="246" spans="1:12">
      <c r="A246" s="3" t="s">
        <v>245</v>
      </c>
      <c r="B246" s="25">
        <v>46223</v>
      </c>
      <c r="C246" s="3" t="s">
        <v>73</v>
      </c>
      <c r="D246" s="3" t="s">
        <v>44</v>
      </c>
      <c r="E246" s="3" t="s">
        <v>147</v>
      </c>
      <c r="F246" s="3" t="s">
        <v>49</v>
      </c>
      <c r="G246" s="3" t="s">
        <v>21</v>
      </c>
      <c r="H246" s="3" t="s">
        <v>33</v>
      </c>
      <c r="I246" s="3" t="s">
        <v>23</v>
      </c>
      <c r="J246" s="3">
        <v>9</v>
      </c>
      <c r="K246" s="3">
        <v>391</v>
      </c>
      <c r="L246" s="3">
        <v>3519</v>
      </c>
    </row>
    <row r="247" spans="1:12">
      <c r="A247" s="3" t="s">
        <v>269</v>
      </c>
      <c r="B247" s="25">
        <v>46223</v>
      </c>
      <c r="C247" s="3" t="s">
        <v>38</v>
      </c>
      <c r="D247" s="3" t="s">
        <v>139</v>
      </c>
      <c r="E247" s="3" t="s">
        <v>270</v>
      </c>
      <c r="F247" s="3" t="s">
        <v>160</v>
      </c>
      <c r="G247" s="3" t="s">
        <v>50</v>
      </c>
      <c r="H247" s="3" t="s">
        <v>33</v>
      </c>
      <c r="I247" s="3" t="s">
        <v>23</v>
      </c>
      <c r="J247" s="3">
        <v>10</v>
      </c>
      <c r="K247" s="3">
        <v>396</v>
      </c>
      <c r="L247" s="3">
        <v>3960</v>
      </c>
    </row>
    <row r="248" spans="1:12">
      <c r="A248" s="3" t="s">
        <v>269</v>
      </c>
      <c r="B248" s="25">
        <v>46223</v>
      </c>
      <c r="C248" s="3" t="s">
        <v>38</v>
      </c>
      <c r="D248" s="3" t="s">
        <v>139</v>
      </c>
      <c r="E248" s="3" t="s">
        <v>140</v>
      </c>
      <c r="F248" s="3" t="s">
        <v>118</v>
      </c>
      <c r="G248" s="3" t="s">
        <v>50</v>
      </c>
      <c r="H248" s="3" t="s">
        <v>58</v>
      </c>
      <c r="I248" s="3" t="s">
        <v>23</v>
      </c>
      <c r="J248" s="3">
        <v>13</v>
      </c>
      <c r="K248" s="3">
        <v>466</v>
      </c>
      <c r="L248" s="3">
        <v>6058</v>
      </c>
    </row>
    <row r="249" spans="1:12">
      <c r="A249" s="3" t="s">
        <v>269</v>
      </c>
      <c r="B249" s="25">
        <v>46223</v>
      </c>
      <c r="C249" s="3" t="s">
        <v>139</v>
      </c>
      <c r="D249" s="3" t="s">
        <v>139</v>
      </c>
      <c r="E249" s="3" t="s">
        <v>255</v>
      </c>
      <c r="F249" s="3" t="s">
        <v>27</v>
      </c>
      <c r="G249" s="3" t="s">
        <v>41</v>
      </c>
      <c r="H249" s="3" t="s">
        <v>58</v>
      </c>
      <c r="I249" s="3" t="s">
        <v>23</v>
      </c>
      <c r="J249" s="3">
        <v>13</v>
      </c>
      <c r="K249" s="3">
        <v>451</v>
      </c>
      <c r="L249" s="3">
        <v>5863</v>
      </c>
    </row>
    <row r="250" spans="1:12">
      <c r="A250" s="3" t="s">
        <v>29</v>
      </c>
      <c r="B250" s="25">
        <v>46224</v>
      </c>
      <c r="C250" s="3" t="s">
        <v>30</v>
      </c>
      <c r="D250" s="3" t="s">
        <v>44</v>
      </c>
      <c r="E250" s="3" t="s">
        <v>31</v>
      </c>
      <c r="F250" s="3" t="s">
        <v>20</v>
      </c>
      <c r="G250" s="3" t="s">
        <v>32</v>
      </c>
      <c r="H250" s="3" t="s">
        <v>33</v>
      </c>
      <c r="I250" s="3" t="s">
        <v>23</v>
      </c>
      <c r="J250" s="3">
        <v>2</v>
      </c>
      <c r="K250" s="3">
        <v>407</v>
      </c>
      <c r="L250" s="3">
        <v>814</v>
      </c>
    </row>
    <row r="251" spans="1:12">
      <c r="A251" s="3" t="s">
        <v>101</v>
      </c>
      <c r="B251" s="25">
        <v>46224</v>
      </c>
      <c r="C251" s="3" t="s">
        <v>52</v>
      </c>
      <c r="D251" s="3" t="s">
        <v>25</v>
      </c>
      <c r="E251" s="3" t="s">
        <v>102</v>
      </c>
      <c r="F251" s="3" t="s">
        <v>103</v>
      </c>
      <c r="G251" s="3" t="s">
        <v>14</v>
      </c>
      <c r="H251" s="3" t="s">
        <v>42</v>
      </c>
      <c r="I251" s="3" t="s">
        <v>23</v>
      </c>
      <c r="J251" s="3">
        <v>12</v>
      </c>
      <c r="K251" s="3">
        <v>410</v>
      </c>
      <c r="L251" s="3">
        <v>4920</v>
      </c>
    </row>
    <row r="252" spans="1:12">
      <c r="A252" s="3" t="s">
        <v>101</v>
      </c>
      <c r="B252" s="25">
        <v>46224</v>
      </c>
      <c r="C252" s="3" t="s">
        <v>110</v>
      </c>
      <c r="D252" s="3" t="s">
        <v>95</v>
      </c>
      <c r="E252" s="3" t="s">
        <v>134</v>
      </c>
      <c r="F252" s="3" t="s">
        <v>106</v>
      </c>
      <c r="G252" s="3" t="s">
        <v>41</v>
      </c>
      <c r="H252" s="3" t="s">
        <v>22</v>
      </c>
      <c r="I252" s="3" t="s">
        <v>23</v>
      </c>
      <c r="J252" s="3">
        <v>10</v>
      </c>
      <c r="K252" s="3">
        <v>395</v>
      </c>
      <c r="L252" s="3">
        <v>3950</v>
      </c>
    </row>
    <row r="253" spans="1:12">
      <c r="A253" s="3" t="s">
        <v>29</v>
      </c>
      <c r="B253" s="25">
        <v>46224</v>
      </c>
      <c r="C253" s="3" t="s">
        <v>110</v>
      </c>
      <c r="D253" s="3" t="s">
        <v>95</v>
      </c>
      <c r="E253" s="3" t="s">
        <v>144</v>
      </c>
      <c r="F253" s="3" t="s">
        <v>118</v>
      </c>
      <c r="G253" s="3" t="s">
        <v>50</v>
      </c>
      <c r="H253" s="3" t="s">
        <v>42</v>
      </c>
      <c r="I253" s="3" t="s">
        <v>23</v>
      </c>
      <c r="J253" s="3">
        <v>20</v>
      </c>
      <c r="K253" s="3">
        <v>422</v>
      </c>
      <c r="L253" s="3">
        <v>8440</v>
      </c>
    </row>
    <row r="254" spans="1:12">
      <c r="A254" s="3" t="s">
        <v>267</v>
      </c>
      <c r="B254" s="25">
        <v>46224</v>
      </c>
      <c r="C254" s="3" t="s">
        <v>110</v>
      </c>
      <c r="D254" s="3" t="s">
        <v>95</v>
      </c>
      <c r="E254" s="3" t="s">
        <v>220</v>
      </c>
      <c r="F254" s="3" t="s">
        <v>221</v>
      </c>
      <c r="G254" s="3" t="s">
        <v>21</v>
      </c>
      <c r="H254" s="3" t="s">
        <v>22</v>
      </c>
      <c r="I254" s="3" t="s">
        <v>23</v>
      </c>
      <c r="J254" s="3">
        <v>11</v>
      </c>
      <c r="K254" s="3">
        <v>415</v>
      </c>
      <c r="L254" s="3">
        <v>4565</v>
      </c>
    </row>
    <row r="255" spans="1:12">
      <c r="A255" s="3" t="s">
        <v>29</v>
      </c>
      <c r="B255" s="25">
        <v>46224</v>
      </c>
      <c r="C255" s="3" t="s">
        <v>38</v>
      </c>
      <c r="D255" s="3" t="s">
        <v>139</v>
      </c>
      <c r="E255" s="3" t="s">
        <v>253</v>
      </c>
      <c r="F255" s="3" t="s">
        <v>239</v>
      </c>
      <c r="G255" s="3" t="s">
        <v>21</v>
      </c>
      <c r="H255" s="3" t="s">
        <v>33</v>
      </c>
      <c r="I255" s="3" t="s">
        <v>23</v>
      </c>
      <c r="J255" s="3">
        <v>25</v>
      </c>
      <c r="K255" s="3">
        <v>390</v>
      </c>
      <c r="L255" s="3">
        <v>9750</v>
      </c>
    </row>
    <row r="256" spans="1:12">
      <c r="A256" s="3" t="s">
        <v>226</v>
      </c>
      <c r="B256" s="25">
        <v>46225</v>
      </c>
      <c r="C256" s="3" t="s">
        <v>44</v>
      </c>
      <c r="D256" s="3" t="s">
        <v>44</v>
      </c>
      <c r="E256" s="3" t="s">
        <v>31</v>
      </c>
      <c r="F256" s="3" t="s">
        <v>20</v>
      </c>
      <c r="G256" s="3" t="s">
        <v>32</v>
      </c>
      <c r="H256" s="3" t="s">
        <v>33</v>
      </c>
      <c r="I256" s="3" t="s">
        <v>23</v>
      </c>
      <c r="J256" s="3">
        <v>16</v>
      </c>
      <c r="K256" s="3">
        <v>394</v>
      </c>
      <c r="L256" s="3">
        <v>6304</v>
      </c>
    </row>
    <row r="257" spans="1:12">
      <c r="A257" s="3" t="s">
        <v>232</v>
      </c>
      <c r="B257" s="25">
        <v>46225</v>
      </c>
      <c r="C257" s="3" t="s">
        <v>120</v>
      </c>
      <c r="D257" s="3" t="s">
        <v>120</v>
      </c>
      <c r="E257" s="3" t="s">
        <v>92</v>
      </c>
      <c r="F257" s="3" t="s">
        <v>93</v>
      </c>
      <c r="G257" s="3" t="s">
        <v>14</v>
      </c>
      <c r="H257" s="3" t="s">
        <v>42</v>
      </c>
      <c r="I257" s="3" t="s">
        <v>23</v>
      </c>
      <c r="J257" s="3">
        <v>13</v>
      </c>
      <c r="K257" s="3">
        <v>435</v>
      </c>
      <c r="L257" s="3">
        <v>5655</v>
      </c>
    </row>
    <row r="258" spans="1:12">
      <c r="A258" s="3" t="s">
        <v>232</v>
      </c>
      <c r="B258" s="25">
        <v>46225</v>
      </c>
      <c r="C258" s="3" t="s">
        <v>52</v>
      </c>
      <c r="D258" s="3" t="s">
        <v>25</v>
      </c>
      <c r="E258" s="3" t="s">
        <v>243</v>
      </c>
      <c r="F258" s="3" t="s">
        <v>244</v>
      </c>
      <c r="G258" s="3" t="s">
        <v>21</v>
      </c>
      <c r="H258" s="3" t="s">
        <v>28</v>
      </c>
      <c r="I258" s="3" t="s">
        <v>23</v>
      </c>
      <c r="J258" s="3">
        <v>8</v>
      </c>
      <c r="K258" s="3">
        <v>289</v>
      </c>
      <c r="L258" s="3">
        <v>2312</v>
      </c>
    </row>
    <row r="259" spans="1:12">
      <c r="A259" s="3" t="s">
        <v>91</v>
      </c>
      <c r="B259" s="25">
        <v>46226</v>
      </c>
      <c r="C259" s="3" t="s">
        <v>11</v>
      </c>
      <c r="D259" s="3" t="s">
        <v>120</v>
      </c>
      <c r="E259" s="3" t="s">
        <v>92</v>
      </c>
      <c r="F259" s="3" t="s">
        <v>93</v>
      </c>
      <c r="G259" s="3" t="s">
        <v>14</v>
      </c>
      <c r="H259" s="3" t="s">
        <v>58</v>
      </c>
      <c r="I259" s="3" t="s">
        <v>23</v>
      </c>
      <c r="J259" s="3">
        <v>12</v>
      </c>
      <c r="K259" s="3">
        <v>473</v>
      </c>
      <c r="L259" s="3">
        <v>5676</v>
      </c>
    </row>
    <row r="260" spans="1:12">
      <c r="A260" s="3" t="s">
        <v>91</v>
      </c>
      <c r="B260" s="25">
        <v>46226</v>
      </c>
      <c r="C260" s="3" t="s">
        <v>38</v>
      </c>
      <c r="D260" s="3" t="s">
        <v>139</v>
      </c>
      <c r="E260" s="3" t="s">
        <v>240</v>
      </c>
      <c r="F260" s="3" t="s">
        <v>239</v>
      </c>
      <c r="G260" s="3" t="s">
        <v>21</v>
      </c>
      <c r="H260" s="3" t="s">
        <v>22</v>
      </c>
      <c r="I260" s="3" t="s">
        <v>23</v>
      </c>
      <c r="J260" s="3">
        <v>11</v>
      </c>
      <c r="K260" s="3">
        <v>412</v>
      </c>
      <c r="L260" s="3">
        <v>4532</v>
      </c>
    </row>
    <row r="261" spans="1:12">
      <c r="A261" s="3" t="s">
        <v>323</v>
      </c>
      <c r="B261" s="25">
        <v>46226</v>
      </c>
      <c r="C261" s="3" t="s">
        <v>38</v>
      </c>
      <c r="D261" s="3" t="s">
        <v>139</v>
      </c>
      <c r="E261" s="3" t="s">
        <v>114</v>
      </c>
      <c r="F261" s="3" t="s">
        <v>115</v>
      </c>
      <c r="G261" s="3" t="s">
        <v>41</v>
      </c>
      <c r="H261" s="3" t="s">
        <v>33</v>
      </c>
      <c r="I261" s="3" t="s">
        <v>23</v>
      </c>
      <c r="J261" s="3">
        <v>14</v>
      </c>
      <c r="K261" s="3">
        <v>399</v>
      </c>
      <c r="L261" s="3">
        <v>5586</v>
      </c>
    </row>
    <row r="262" spans="1:12">
      <c r="A262" s="3" t="s">
        <v>91</v>
      </c>
      <c r="B262" s="25">
        <v>46226</v>
      </c>
      <c r="C262" s="3" t="s">
        <v>139</v>
      </c>
      <c r="D262" s="3" t="s">
        <v>139</v>
      </c>
      <c r="E262" s="3" t="s">
        <v>255</v>
      </c>
      <c r="F262" s="3" t="s">
        <v>27</v>
      </c>
      <c r="G262" s="3" t="s">
        <v>41</v>
      </c>
      <c r="H262" s="3" t="s">
        <v>58</v>
      </c>
      <c r="I262" s="3" t="s">
        <v>23</v>
      </c>
      <c r="J262" s="3">
        <v>16</v>
      </c>
      <c r="K262" s="3">
        <v>454</v>
      </c>
      <c r="L262" s="3">
        <v>7264</v>
      </c>
    </row>
    <row r="263" spans="1:12">
      <c r="A263" s="3" t="s">
        <v>113</v>
      </c>
      <c r="B263" s="25">
        <v>46227</v>
      </c>
      <c r="C263" s="3" t="s">
        <v>38</v>
      </c>
      <c r="D263" s="3" t="s">
        <v>139</v>
      </c>
      <c r="E263" s="3" t="s">
        <v>114</v>
      </c>
      <c r="F263" s="3" t="s">
        <v>115</v>
      </c>
      <c r="G263" s="3" t="s">
        <v>41</v>
      </c>
      <c r="H263" s="3" t="s">
        <v>22</v>
      </c>
      <c r="I263" s="3" t="s">
        <v>23</v>
      </c>
      <c r="J263" s="3">
        <v>23</v>
      </c>
      <c r="K263" s="3">
        <v>401</v>
      </c>
      <c r="L263" s="3">
        <v>9223</v>
      </c>
    </row>
    <row r="264" spans="1:12">
      <c r="A264" s="3" t="s">
        <v>146</v>
      </c>
      <c r="B264" s="25">
        <v>46227</v>
      </c>
      <c r="C264" s="3" t="s">
        <v>44</v>
      </c>
      <c r="D264" s="3" t="s">
        <v>44</v>
      </c>
      <c r="E264" s="3" t="s">
        <v>147</v>
      </c>
      <c r="F264" s="3" t="s">
        <v>49</v>
      </c>
      <c r="G264" s="3" t="s">
        <v>21</v>
      </c>
      <c r="H264" s="3" t="s">
        <v>15</v>
      </c>
      <c r="I264" s="3" t="s">
        <v>16</v>
      </c>
      <c r="J264" s="3">
        <v>5</v>
      </c>
      <c r="K264" s="3">
        <v>755</v>
      </c>
      <c r="L264" s="3">
        <v>3775</v>
      </c>
    </row>
    <row r="265" spans="1:12">
      <c r="A265" s="3" t="s">
        <v>146</v>
      </c>
      <c r="B265" s="25">
        <v>46227</v>
      </c>
      <c r="C265" s="3" t="s">
        <v>38</v>
      </c>
      <c r="D265" s="3" t="s">
        <v>139</v>
      </c>
      <c r="E265" s="3" t="s">
        <v>193</v>
      </c>
      <c r="F265" s="3" t="s">
        <v>118</v>
      </c>
      <c r="G265" s="3" t="s">
        <v>14</v>
      </c>
      <c r="H265" s="3" t="s">
        <v>15</v>
      </c>
      <c r="I265" s="3" t="s">
        <v>16</v>
      </c>
      <c r="J265" s="3">
        <v>2</v>
      </c>
      <c r="K265" s="3">
        <v>740</v>
      </c>
      <c r="L265" s="3">
        <v>1480</v>
      </c>
    </row>
    <row r="266" spans="1:12">
      <c r="A266" s="3" t="s">
        <v>113</v>
      </c>
      <c r="B266" s="25">
        <v>46227</v>
      </c>
      <c r="C266" s="3" t="s">
        <v>44</v>
      </c>
      <c r="D266" s="3" t="s">
        <v>44</v>
      </c>
      <c r="E266" s="3" t="s">
        <v>31</v>
      </c>
      <c r="F266" s="3" t="s">
        <v>20</v>
      </c>
      <c r="G266" s="3" t="s">
        <v>32</v>
      </c>
      <c r="H266" s="3" t="s">
        <v>42</v>
      </c>
      <c r="I266" s="3" t="s">
        <v>23</v>
      </c>
      <c r="J266" s="3">
        <v>16</v>
      </c>
      <c r="K266" s="3">
        <v>421</v>
      </c>
      <c r="L266" s="3">
        <v>6736</v>
      </c>
    </row>
    <row r="267" spans="1:12">
      <c r="A267" s="3" t="s">
        <v>146</v>
      </c>
      <c r="B267" s="25">
        <v>46227</v>
      </c>
      <c r="C267" s="3" t="s">
        <v>108</v>
      </c>
      <c r="D267" s="3" t="s">
        <v>44</v>
      </c>
      <c r="E267" s="3" t="s">
        <v>263</v>
      </c>
      <c r="F267" s="3" t="s">
        <v>100</v>
      </c>
      <c r="G267" s="3" t="s">
        <v>21</v>
      </c>
      <c r="H267" s="3" t="s">
        <v>22</v>
      </c>
      <c r="I267" s="3" t="s">
        <v>23</v>
      </c>
      <c r="J267" s="3">
        <v>13</v>
      </c>
      <c r="K267" s="3">
        <v>420</v>
      </c>
      <c r="L267" s="3">
        <v>5460</v>
      </c>
    </row>
    <row r="268" spans="1:12">
      <c r="A268" s="3" t="s">
        <v>305</v>
      </c>
      <c r="B268" s="25">
        <v>46227</v>
      </c>
      <c r="C268" s="3" t="s">
        <v>139</v>
      </c>
      <c r="D268" s="3" t="s">
        <v>139</v>
      </c>
      <c r="E268" s="3" t="s">
        <v>140</v>
      </c>
      <c r="F268" s="3" t="s">
        <v>118</v>
      </c>
      <c r="G268" s="3" t="s">
        <v>50</v>
      </c>
      <c r="H268" s="3" t="s">
        <v>42</v>
      </c>
      <c r="I268" s="3" t="s">
        <v>23</v>
      </c>
      <c r="J268" s="3">
        <v>10</v>
      </c>
      <c r="K268" s="3">
        <v>434</v>
      </c>
      <c r="L268" s="3">
        <v>4340</v>
      </c>
    </row>
    <row r="269" spans="1:12">
      <c r="A269" s="3" t="s">
        <v>305</v>
      </c>
      <c r="B269" s="25">
        <v>46227</v>
      </c>
      <c r="C269" s="3" t="s">
        <v>120</v>
      </c>
      <c r="D269" s="3" t="s">
        <v>120</v>
      </c>
      <c r="E269" s="3" t="s">
        <v>56</v>
      </c>
      <c r="F269" s="3" t="s">
        <v>57</v>
      </c>
      <c r="G269" s="3" t="s">
        <v>32</v>
      </c>
      <c r="H269" s="3" t="s">
        <v>42</v>
      </c>
      <c r="I269" s="3" t="s">
        <v>23</v>
      </c>
      <c r="J269" s="3">
        <v>3</v>
      </c>
      <c r="K269" s="3">
        <v>436</v>
      </c>
      <c r="L269" s="3">
        <v>1308</v>
      </c>
    </row>
    <row r="270" spans="1:12">
      <c r="A270" s="3" t="s">
        <v>157</v>
      </c>
      <c r="B270" s="25">
        <v>46228</v>
      </c>
      <c r="C270" s="3" t="s">
        <v>95</v>
      </c>
      <c r="D270" s="3" t="s">
        <v>95</v>
      </c>
      <c r="E270" s="3" t="s">
        <v>117</v>
      </c>
      <c r="F270" s="3" t="s">
        <v>118</v>
      </c>
      <c r="G270" s="3" t="s">
        <v>21</v>
      </c>
      <c r="H270" s="3" t="s">
        <v>58</v>
      </c>
      <c r="I270" s="3" t="s">
        <v>23</v>
      </c>
      <c r="J270" s="3">
        <v>25</v>
      </c>
      <c r="K270" s="3">
        <v>460</v>
      </c>
      <c r="L270" s="3">
        <v>11500</v>
      </c>
    </row>
    <row r="271" spans="1:12">
      <c r="A271" s="3" t="s">
        <v>219</v>
      </c>
      <c r="B271" s="25">
        <v>46228</v>
      </c>
      <c r="C271" s="3" t="s">
        <v>18</v>
      </c>
      <c r="D271" s="3" t="s">
        <v>95</v>
      </c>
      <c r="E271" s="3" t="s">
        <v>220</v>
      </c>
      <c r="F271" s="3" t="s">
        <v>221</v>
      </c>
      <c r="G271" s="3" t="s">
        <v>21</v>
      </c>
      <c r="H271" s="3" t="s">
        <v>33</v>
      </c>
      <c r="I271" s="3" t="s">
        <v>23</v>
      </c>
      <c r="J271" s="3">
        <v>25</v>
      </c>
      <c r="K271" s="3">
        <v>401</v>
      </c>
      <c r="L271" s="3">
        <v>10025</v>
      </c>
    </row>
    <row r="272" spans="1:12">
      <c r="A272" s="3" t="s">
        <v>229</v>
      </c>
      <c r="B272" s="25">
        <v>46228</v>
      </c>
      <c r="C272" s="3" t="s">
        <v>88</v>
      </c>
      <c r="D272" s="3" t="s">
        <v>25</v>
      </c>
      <c r="E272" s="3" t="s">
        <v>76</v>
      </c>
      <c r="F272" s="3" t="s">
        <v>77</v>
      </c>
      <c r="G272" s="3" t="s">
        <v>41</v>
      </c>
      <c r="H272" s="3" t="s">
        <v>33</v>
      </c>
      <c r="I272" s="3" t="s">
        <v>23</v>
      </c>
      <c r="J272" s="3">
        <v>22</v>
      </c>
      <c r="K272" s="3">
        <v>405</v>
      </c>
      <c r="L272" s="3">
        <v>8910</v>
      </c>
    </row>
    <row r="273" spans="1:12">
      <c r="A273" s="3" t="s">
        <v>219</v>
      </c>
      <c r="B273" s="25">
        <v>46228</v>
      </c>
      <c r="C273" s="3" t="s">
        <v>52</v>
      </c>
      <c r="D273" s="3" t="s">
        <v>25</v>
      </c>
      <c r="E273" s="3" t="s">
        <v>243</v>
      </c>
      <c r="F273" s="3" t="s">
        <v>244</v>
      </c>
      <c r="G273" s="3" t="s">
        <v>21</v>
      </c>
      <c r="H273" s="3" t="s">
        <v>22</v>
      </c>
      <c r="I273" s="3" t="s">
        <v>23</v>
      </c>
      <c r="J273" s="3">
        <v>6</v>
      </c>
      <c r="K273" s="3">
        <v>396</v>
      </c>
      <c r="L273" s="3">
        <v>2376</v>
      </c>
    </row>
    <row r="274" spans="1:12">
      <c r="A274" s="3" t="s">
        <v>229</v>
      </c>
      <c r="B274" s="25">
        <v>46228</v>
      </c>
      <c r="C274" s="3" t="s">
        <v>18</v>
      </c>
      <c r="D274" s="3" t="s">
        <v>95</v>
      </c>
      <c r="E274" s="3" t="s">
        <v>228</v>
      </c>
      <c r="F274" s="3" t="s">
        <v>164</v>
      </c>
      <c r="G274" s="3" t="s">
        <v>41</v>
      </c>
      <c r="H274" s="3" t="s">
        <v>42</v>
      </c>
      <c r="I274" s="3" t="s">
        <v>23</v>
      </c>
      <c r="J274" s="3">
        <v>19</v>
      </c>
      <c r="K274" s="3">
        <v>423</v>
      </c>
      <c r="L274" s="3">
        <v>8037</v>
      </c>
    </row>
    <row r="275" spans="1:12">
      <c r="A275" s="3" t="s">
        <v>157</v>
      </c>
      <c r="B275" s="25">
        <v>46228</v>
      </c>
      <c r="C275" s="3" t="s">
        <v>11</v>
      </c>
      <c r="D275" s="3" t="s">
        <v>120</v>
      </c>
      <c r="E275" s="3" t="s">
        <v>284</v>
      </c>
      <c r="F275" s="3" t="s">
        <v>66</v>
      </c>
      <c r="G275" s="3" t="s">
        <v>14</v>
      </c>
      <c r="H275" s="3" t="s">
        <v>58</v>
      </c>
      <c r="I275" s="3" t="s">
        <v>23</v>
      </c>
      <c r="J275" s="3">
        <v>16</v>
      </c>
      <c r="K275" s="3">
        <v>464</v>
      </c>
      <c r="L275" s="3">
        <v>7424</v>
      </c>
    </row>
    <row r="276" spans="1:12">
      <c r="A276" s="3" t="s">
        <v>229</v>
      </c>
      <c r="B276" s="25">
        <v>46228</v>
      </c>
      <c r="C276" s="3" t="s">
        <v>52</v>
      </c>
      <c r="D276" s="3" t="s">
        <v>25</v>
      </c>
      <c r="E276" s="3" t="s">
        <v>102</v>
      </c>
      <c r="F276" s="3" t="s">
        <v>103</v>
      </c>
      <c r="G276" s="3" t="s">
        <v>14</v>
      </c>
      <c r="H276" s="3" t="s">
        <v>22</v>
      </c>
      <c r="I276" s="3" t="s">
        <v>23</v>
      </c>
      <c r="J276" s="3">
        <v>5</v>
      </c>
      <c r="K276" s="3">
        <v>412</v>
      </c>
      <c r="L276" s="3">
        <v>2060</v>
      </c>
    </row>
    <row r="277" spans="1:12">
      <c r="A277" s="3" t="s">
        <v>229</v>
      </c>
      <c r="B277" s="25">
        <v>46228</v>
      </c>
      <c r="C277" s="3" t="s">
        <v>139</v>
      </c>
      <c r="D277" s="3" t="s">
        <v>139</v>
      </c>
      <c r="E277" s="3" t="s">
        <v>249</v>
      </c>
      <c r="F277" s="3" t="s">
        <v>106</v>
      </c>
      <c r="G277" s="3" t="s">
        <v>41</v>
      </c>
      <c r="H277" s="3" t="s">
        <v>33</v>
      </c>
      <c r="I277" s="3" t="s">
        <v>23</v>
      </c>
      <c r="J277" s="3">
        <v>11</v>
      </c>
      <c r="K277" s="3">
        <v>403</v>
      </c>
      <c r="L277" s="3">
        <v>4433</v>
      </c>
    </row>
    <row r="278" spans="1:12">
      <c r="A278" s="3" t="s">
        <v>165</v>
      </c>
      <c r="B278" s="25">
        <v>46229</v>
      </c>
      <c r="C278" s="3" t="s">
        <v>38</v>
      </c>
      <c r="D278" s="3" t="s">
        <v>139</v>
      </c>
      <c r="E278" s="3" t="s">
        <v>166</v>
      </c>
      <c r="F278" s="3" t="s">
        <v>106</v>
      </c>
      <c r="G278" s="3" t="s">
        <v>14</v>
      </c>
      <c r="H278" s="3" t="s">
        <v>22</v>
      </c>
      <c r="I278" s="3" t="s">
        <v>23</v>
      </c>
      <c r="J278" s="3">
        <v>19</v>
      </c>
      <c r="K278" s="3">
        <v>396</v>
      </c>
      <c r="L278" s="3">
        <v>7524</v>
      </c>
    </row>
    <row r="279" spans="1:12">
      <c r="A279" s="3" t="s">
        <v>262</v>
      </c>
      <c r="B279" s="25">
        <v>46229</v>
      </c>
      <c r="C279" s="3" t="s">
        <v>30</v>
      </c>
      <c r="D279" s="3" t="s">
        <v>44</v>
      </c>
      <c r="E279" s="3" t="s">
        <v>263</v>
      </c>
      <c r="F279" s="3" t="s">
        <v>100</v>
      </c>
      <c r="G279" s="3" t="s">
        <v>21</v>
      </c>
      <c r="H279" s="3" t="s">
        <v>42</v>
      </c>
      <c r="I279" s="3" t="s">
        <v>23</v>
      </c>
      <c r="J279" s="3">
        <v>1</v>
      </c>
      <c r="K279" s="3">
        <v>413</v>
      </c>
      <c r="L279" s="3">
        <v>413</v>
      </c>
    </row>
    <row r="280" spans="1:12">
      <c r="A280" s="3" t="s">
        <v>165</v>
      </c>
      <c r="B280" s="25">
        <v>46229</v>
      </c>
      <c r="C280" s="3" t="s">
        <v>110</v>
      </c>
      <c r="D280" s="3" t="s">
        <v>95</v>
      </c>
      <c r="E280" s="3" t="s">
        <v>134</v>
      </c>
      <c r="F280" s="3" t="s">
        <v>106</v>
      </c>
      <c r="G280" s="3" t="s">
        <v>41</v>
      </c>
      <c r="H280" s="3" t="s">
        <v>58</v>
      </c>
      <c r="I280" s="3" t="s">
        <v>23</v>
      </c>
      <c r="J280" s="3">
        <v>15</v>
      </c>
      <c r="K280" s="3">
        <v>479</v>
      </c>
      <c r="L280" s="3">
        <v>7185</v>
      </c>
    </row>
    <row r="281" spans="1:12">
      <c r="A281" s="3" t="s">
        <v>165</v>
      </c>
      <c r="B281" s="25">
        <v>46229</v>
      </c>
      <c r="C281" s="3" t="s">
        <v>52</v>
      </c>
      <c r="D281" s="3" t="s">
        <v>25</v>
      </c>
      <c r="E281" s="3" t="s">
        <v>102</v>
      </c>
      <c r="F281" s="3" t="s">
        <v>103</v>
      </c>
      <c r="G281" s="3" t="s">
        <v>14</v>
      </c>
      <c r="H281" s="3" t="s">
        <v>15</v>
      </c>
      <c r="I281" s="3" t="s">
        <v>16</v>
      </c>
      <c r="J281" s="4"/>
      <c r="K281" s="3">
        <v>762</v>
      </c>
      <c r="L281" s="4"/>
    </row>
    <row r="282" spans="1:12">
      <c r="A282" s="3" t="s">
        <v>262</v>
      </c>
      <c r="B282" s="25">
        <v>46229</v>
      </c>
      <c r="C282" s="3" t="s">
        <v>73</v>
      </c>
      <c r="D282" s="3" t="s">
        <v>44</v>
      </c>
      <c r="E282" s="3" t="s">
        <v>176</v>
      </c>
      <c r="F282" s="3" t="s">
        <v>103</v>
      </c>
      <c r="G282" s="3" t="s">
        <v>32</v>
      </c>
      <c r="H282" s="3" t="s">
        <v>42</v>
      </c>
      <c r="I282" s="3" t="s">
        <v>23</v>
      </c>
      <c r="J282" s="3">
        <v>8</v>
      </c>
      <c r="K282" s="3">
        <v>435</v>
      </c>
      <c r="L282" s="3">
        <v>3480</v>
      </c>
    </row>
    <row r="283" spans="1:12">
      <c r="A283" s="3" t="s">
        <v>321</v>
      </c>
      <c r="B283" s="25">
        <v>46229</v>
      </c>
      <c r="C283" s="3" t="s">
        <v>108</v>
      </c>
      <c r="D283" s="3" t="s">
        <v>44</v>
      </c>
      <c r="E283" s="3" t="s">
        <v>322</v>
      </c>
      <c r="F283" s="3" t="s">
        <v>300</v>
      </c>
      <c r="G283" s="3" t="s">
        <v>21</v>
      </c>
      <c r="H283" s="3" t="s">
        <v>28</v>
      </c>
      <c r="I283" s="3" t="s">
        <v>23</v>
      </c>
      <c r="J283" s="3">
        <v>19</v>
      </c>
      <c r="K283" s="3">
        <v>275</v>
      </c>
      <c r="L283" s="3">
        <v>5225</v>
      </c>
    </row>
    <row r="284" spans="1:12">
      <c r="A284" s="3" t="s">
        <v>165</v>
      </c>
      <c r="B284" s="25">
        <v>46229</v>
      </c>
      <c r="C284" s="3" t="s">
        <v>108</v>
      </c>
      <c r="D284" s="3" t="s">
        <v>44</v>
      </c>
      <c r="E284" s="3" t="s">
        <v>288</v>
      </c>
      <c r="F284" s="3" t="s">
        <v>164</v>
      </c>
      <c r="G284" s="3" t="s">
        <v>21</v>
      </c>
      <c r="H284" s="3" t="s">
        <v>58</v>
      </c>
      <c r="I284" s="3" t="s">
        <v>23</v>
      </c>
      <c r="J284" s="3">
        <v>12</v>
      </c>
      <c r="K284" s="3">
        <v>479</v>
      </c>
      <c r="L284" s="3">
        <v>5748</v>
      </c>
    </row>
    <row r="285" spans="1:12">
      <c r="A285" s="3" t="s">
        <v>43</v>
      </c>
      <c r="B285" s="25">
        <v>46230</v>
      </c>
      <c r="C285" s="3" t="s">
        <v>44</v>
      </c>
      <c r="D285" s="3" t="s">
        <v>44</v>
      </c>
      <c r="E285" s="3" t="s">
        <v>45</v>
      </c>
      <c r="F285" s="3" t="s">
        <v>46</v>
      </c>
      <c r="G285" s="3" t="s">
        <v>14</v>
      </c>
      <c r="H285" s="3" t="s">
        <v>22</v>
      </c>
      <c r="I285" s="3" t="s">
        <v>23</v>
      </c>
      <c r="J285" s="3">
        <v>23</v>
      </c>
      <c r="K285" s="3">
        <v>408</v>
      </c>
      <c r="L285" s="3">
        <v>9384</v>
      </c>
    </row>
    <row r="286" spans="1:12">
      <c r="A286" s="3" t="s">
        <v>43</v>
      </c>
      <c r="B286" s="25">
        <v>46230</v>
      </c>
      <c r="C286" s="3" t="s">
        <v>110</v>
      </c>
      <c r="D286" s="3" t="s">
        <v>95</v>
      </c>
      <c r="E286" s="3" t="s">
        <v>217</v>
      </c>
      <c r="F286" s="3" t="s">
        <v>93</v>
      </c>
      <c r="G286" s="3" t="s">
        <v>14</v>
      </c>
      <c r="H286" s="3" t="s">
        <v>28</v>
      </c>
      <c r="I286" s="3" t="s">
        <v>23</v>
      </c>
      <c r="J286" s="3">
        <v>13</v>
      </c>
      <c r="K286" s="3">
        <v>273</v>
      </c>
      <c r="L286" s="3">
        <v>3549</v>
      </c>
    </row>
    <row r="287" spans="1:12">
      <c r="A287" s="3" t="s">
        <v>43</v>
      </c>
      <c r="B287" s="25">
        <v>46230</v>
      </c>
      <c r="C287" s="3" t="s">
        <v>88</v>
      </c>
      <c r="D287" s="3" t="s">
        <v>25</v>
      </c>
      <c r="E287" s="3" t="s">
        <v>241</v>
      </c>
      <c r="F287" s="3" t="s">
        <v>242</v>
      </c>
      <c r="G287" s="3" t="s">
        <v>14</v>
      </c>
      <c r="H287" s="3" t="s">
        <v>42</v>
      </c>
      <c r="I287" s="3" t="s">
        <v>23</v>
      </c>
      <c r="J287" s="3">
        <v>20</v>
      </c>
      <c r="K287" s="3">
        <v>430</v>
      </c>
      <c r="L287" s="3">
        <v>8600</v>
      </c>
    </row>
    <row r="288" spans="1:12">
      <c r="A288" s="3" t="s">
        <v>311</v>
      </c>
      <c r="B288" s="25">
        <v>46230</v>
      </c>
      <c r="C288" s="3" t="s">
        <v>73</v>
      </c>
      <c r="D288" s="3" t="s">
        <v>44</v>
      </c>
      <c r="E288" s="3" t="s">
        <v>176</v>
      </c>
      <c r="F288" s="3" t="s">
        <v>103</v>
      </c>
      <c r="G288" s="3" t="s">
        <v>32</v>
      </c>
      <c r="H288" s="3" t="s">
        <v>42</v>
      </c>
      <c r="I288" s="3" t="s">
        <v>23</v>
      </c>
      <c r="J288" s="3">
        <v>7</v>
      </c>
      <c r="K288" s="3">
        <v>436</v>
      </c>
      <c r="L288" s="3">
        <v>3052</v>
      </c>
    </row>
    <row r="289" spans="1:12">
      <c r="A289" s="3" t="s">
        <v>311</v>
      </c>
      <c r="B289" s="25">
        <v>46230</v>
      </c>
      <c r="C289" s="3" t="s">
        <v>25</v>
      </c>
      <c r="D289" s="3" t="s">
        <v>25</v>
      </c>
      <c r="E289" s="3" t="s">
        <v>142</v>
      </c>
      <c r="F289" s="3" t="s">
        <v>137</v>
      </c>
      <c r="G289" s="3" t="s">
        <v>41</v>
      </c>
      <c r="H289" s="3" t="s">
        <v>42</v>
      </c>
      <c r="I289" s="3" t="s">
        <v>23</v>
      </c>
      <c r="J289" s="3">
        <v>21</v>
      </c>
      <c r="K289" s="3">
        <v>414</v>
      </c>
      <c r="L289" s="3">
        <v>8694</v>
      </c>
    </row>
    <row r="290" spans="1:12">
      <c r="A290" s="3" t="s">
        <v>135</v>
      </c>
      <c r="B290" s="25">
        <v>46231</v>
      </c>
      <c r="C290" s="3" t="s">
        <v>73</v>
      </c>
      <c r="D290" s="3" t="s">
        <v>44</v>
      </c>
      <c r="E290" s="3" t="s">
        <v>136</v>
      </c>
      <c r="F290" s="3" t="s">
        <v>137</v>
      </c>
      <c r="G290" s="3" t="s">
        <v>14</v>
      </c>
      <c r="H290" s="3" t="s">
        <v>28</v>
      </c>
      <c r="I290" s="3" t="s">
        <v>23</v>
      </c>
      <c r="J290" s="3">
        <v>5</v>
      </c>
      <c r="K290" s="3">
        <v>295</v>
      </c>
      <c r="L290" s="3">
        <v>1475</v>
      </c>
    </row>
    <row r="291" spans="1:12">
      <c r="A291" s="3" t="s">
        <v>138</v>
      </c>
      <c r="B291" s="25">
        <v>46231</v>
      </c>
      <c r="C291" s="3" t="s">
        <v>139</v>
      </c>
      <c r="D291" s="3" t="s">
        <v>139</v>
      </c>
      <c r="E291" s="3" t="s">
        <v>140</v>
      </c>
      <c r="F291" s="3" t="s">
        <v>118</v>
      </c>
      <c r="G291" s="3" t="s">
        <v>50</v>
      </c>
      <c r="H291" s="3" t="s">
        <v>58</v>
      </c>
      <c r="I291" s="3" t="s">
        <v>23</v>
      </c>
      <c r="J291" s="3">
        <v>15</v>
      </c>
      <c r="K291" s="3">
        <v>475</v>
      </c>
      <c r="L291" s="3">
        <v>7125</v>
      </c>
    </row>
    <row r="292" spans="1:12">
      <c r="A292" s="3" t="s">
        <v>138</v>
      </c>
      <c r="B292" s="25">
        <v>46231</v>
      </c>
      <c r="C292" s="3" t="s">
        <v>38</v>
      </c>
      <c r="D292" s="3" t="s">
        <v>139</v>
      </c>
      <c r="E292" s="3" t="s">
        <v>166</v>
      </c>
      <c r="F292" s="3" t="s">
        <v>106</v>
      </c>
      <c r="G292" s="3" t="s">
        <v>14</v>
      </c>
      <c r="H292" s="3" t="s">
        <v>22</v>
      </c>
      <c r="I292" s="3" t="s">
        <v>23</v>
      </c>
      <c r="J292" s="4"/>
      <c r="K292" s="3">
        <v>410</v>
      </c>
      <c r="L292" s="4"/>
    </row>
    <row r="293" spans="1:12">
      <c r="A293" s="3" t="s">
        <v>138</v>
      </c>
      <c r="B293" s="25">
        <v>46231</v>
      </c>
      <c r="C293" s="3" t="s">
        <v>52</v>
      </c>
      <c r="D293" s="3" t="s">
        <v>25</v>
      </c>
      <c r="E293" s="3" t="s">
        <v>168</v>
      </c>
      <c r="F293" s="3" t="s">
        <v>115</v>
      </c>
      <c r="G293" s="3" t="s">
        <v>41</v>
      </c>
      <c r="H293" s="3" t="s">
        <v>42</v>
      </c>
      <c r="I293" s="3" t="s">
        <v>23</v>
      </c>
      <c r="J293" s="3">
        <v>11</v>
      </c>
      <c r="K293" s="3">
        <v>435</v>
      </c>
      <c r="L293" s="3">
        <v>4785</v>
      </c>
    </row>
    <row r="294" spans="1:12">
      <c r="A294" s="3" t="s">
        <v>138</v>
      </c>
      <c r="B294" s="25">
        <v>46231</v>
      </c>
      <c r="C294" s="3" t="s">
        <v>25</v>
      </c>
      <c r="D294" s="3" t="s">
        <v>25</v>
      </c>
      <c r="E294" s="3" t="s">
        <v>307</v>
      </c>
      <c r="F294" s="3" t="s">
        <v>115</v>
      </c>
      <c r="G294" s="3" t="s">
        <v>14</v>
      </c>
      <c r="H294" s="3" t="s">
        <v>22</v>
      </c>
      <c r="I294" s="3" t="s">
        <v>23</v>
      </c>
      <c r="J294" s="3">
        <v>4</v>
      </c>
      <c r="K294" s="3">
        <v>419</v>
      </c>
      <c r="L294" s="3">
        <v>1676</v>
      </c>
    </row>
    <row r="295" spans="1:12">
      <c r="A295" s="3" t="s">
        <v>135</v>
      </c>
      <c r="B295" s="25">
        <v>46231</v>
      </c>
      <c r="C295" s="3" t="s">
        <v>110</v>
      </c>
      <c r="D295" s="3" t="s">
        <v>95</v>
      </c>
      <c r="E295" s="3" t="s">
        <v>217</v>
      </c>
      <c r="F295" s="3" t="s">
        <v>93</v>
      </c>
      <c r="G295" s="3" t="s">
        <v>14</v>
      </c>
      <c r="H295" s="3" t="s">
        <v>22</v>
      </c>
      <c r="I295" s="3" t="s">
        <v>23</v>
      </c>
      <c r="J295" s="3">
        <v>14</v>
      </c>
      <c r="K295" s="3">
        <v>402</v>
      </c>
      <c r="L295" s="3">
        <v>5628</v>
      </c>
    </row>
    <row r="296" spans="1:12">
      <c r="A296" s="3" t="s">
        <v>325</v>
      </c>
      <c r="B296" s="25">
        <v>46231</v>
      </c>
      <c r="C296" s="3" t="s">
        <v>120</v>
      </c>
      <c r="D296" s="3" t="s">
        <v>120</v>
      </c>
      <c r="E296" s="3" t="s">
        <v>125</v>
      </c>
      <c r="F296" s="3" t="s">
        <v>112</v>
      </c>
      <c r="G296" s="3" t="s">
        <v>32</v>
      </c>
      <c r="H296" s="3" t="s">
        <v>22</v>
      </c>
      <c r="I296" s="3" t="s">
        <v>23</v>
      </c>
      <c r="J296" s="3">
        <v>13</v>
      </c>
      <c r="K296" s="3">
        <v>406</v>
      </c>
      <c r="L296" s="3">
        <v>5278</v>
      </c>
    </row>
    <row r="297" spans="1:12">
      <c r="A297" s="3" t="s">
        <v>194</v>
      </c>
      <c r="B297" s="25">
        <v>46232</v>
      </c>
      <c r="C297" s="3" t="s">
        <v>44</v>
      </c>
      <c r="D297" s="3" t="s">
        <v>44</v>
      </c>
      <c r="E297" s="3" t="s">
        <v>45</v>
      </c>
      <c r="F297" s="3" t="s">
        <v>46</v>
      </c>
      <c r="G297" s="3" t="s">
        <v>14</v>
      </c>
      <c r="H297" s="3" t="s">
        <v>15</v>
      </c>
      <c r="I297" s="3" t="s">
        <v>16</v>
      </c>
      <c r="J297" s="3">
        <v>11</v>
      </c>
      <c r="K297" s="3">
        <v>742</v>
      </c>
      <c r="L297" s="3">
        <v>8162</v>
      </c>
    </row>
    <row r="298" spans="1:12">
      <c r="A298" s="3" t="s">
        <v>302</v>
      </c>
      <c r="B298" s="25">
        <v>46232</v>
      </c>
      <c r="C298" s="3" t="s">
        <v>11</v>
      </c>
      <c r="D298" s="3" t="s">
        <v>120</v>
      </c>
      <c r="E298" s="3" t="s">
        <v>149</v>
      </c>
      <c r="F298" s="3" t="s">
        <v>115</v>
      </c>
      <c r="G298" s="3" t="s">
        <v>50</v>
      </c>
      <c r="H298" s="3" t="s">
        <v>15</v>
      </c>
      <c r="I298" s="3" t="s">
        <v>16</v>
      </c>
      <c r="J298" s="3">
        <v>3</v>
      </c>
      <c r="K298" s="3">
        <v>757</v>
      </c>
      <c r="L298" s="3">
        <v>2271</v>
      </c>
    </row>
    <row r="299" spans="1:12">
      <c r="A299" s="3" t="s">
        <v>302</v>
      </c>
      <c r="B299" s="25">
        <v>46232</v>
      </c>
      <c r="C299" s="3" t="s">
        <v>95</v>
      </c>
      <c r="D299" s="3" t="s">
        <v>95</v>
      </c>
      <c r="E299" s="3" t="s">
        <v>19</v>
      </c>
      <c r="F299" s="3" t="s">
        <v>20</v>
      </c>
      <c r="G299" s="3" t="s">
        <v>21</v>
      </c>
      <c r="H299" s="3" t="s">
        <v>42</v>
      </c>
      <c r="I299" s="3" t="s">
        <v>23</v>
      </c>
      <c r="J299" s="3">
        <v>5</v>
      </c>
      <c r="K299" s="3">
        <v>429</v>
      </c>
      <c r="L299" s="3">
        <v>2145</v>
      </c>
    </row>
    <row r="300" spans="1:12">
      <c r="A300" s="3" t="s">
        <v>208</v>
      </c>
      <c r="B300" s="25">
        <v>46233</v>
      </c>
      <c r="C300" s="3" t="s">
        <v>88</v>
      </c>
      <c r="D300" s="3" t="s">
        <v>25</v>
      </c>
      <c r="E300" s="3" t="s">
        <v>168</v>
      </c>
      <c r="F300" s="3" t="s">
        <v>115</v>
      </c>
      <c r="G300" s="3" t="s">
        <v>41</v>
      </c>
      <c r="H300" s="3" t="s">
        <v>28</v>
      </c>
      <c r="I300" s="3" t="s">
        <v>23</v>
      </c>
      <c r="J300" s="3">
        <v>17</v>
      </c>
      <c r="K300" s="3">
        <v>296</v>
      </c>
      <c r="L300" s="3">
        <v>5032</v>
      </c>
    </row>
    <row r="301" spans="1:12">
      <c r="A301" s="3" t="s">
        <v>261</v>
      </c>
      <c r="B301" s="25">
        <v>46233</v>
      </c>
      <c r="C301" s="3" t="s">
        <v>38</v>
      </c>
      <c r="D301" s="3" t="s">
        <v>139</v>
      </c>
      <c r="E301" s="3" t="s">
        <v>193</v>
      </c>
      <c r="F301" s="3" t="s">
        <v>118</v>
      </c>
      <c r="G301" s="3" t="s">
        <v>14</v>
      </c>
      <c r="H301" s="3" t="s">
        <v>58</v>
      </c>
      <c r="I301" s="3" t="s">
        <v>23</v>
      </c>
      <c r="J301" s="3">
        <v>13</v>
      </c>
      <c r="K301" s="3">
        <v>455</v>
      </c>
      <c r="L301" s="3">
        <v>5915</v>
      </c>
    </row>
    <row r="302" spans="1:12">
      <c r="A302" s="3" t="s">
        <v>292</v>
      </c>
      <c r="B302" s="25">
        <v>46233</v>
      </c>
      <c r="C302" s="3" t="s">
        <v>139</v>
      </c>
      <c r="D302" s="3" t="s">
        <v>139</v>
      </c>
      <c r="E302" s="3" t="s">
        <v>253</v>
      </c>
      <c r="F302" s="3" t="s">
        <v>239</v>
      </c>
      <c r="G302" s="3" t="s">
        <v>21</v>
      </c>
      <c r="H302" s="3" t="s">
        <v>28</v>
      </c>
      <c r="I302" s="3" t="s">
        <v>23</v>
      </c>
      <c r="J302" s="3">
        <v>23</v>
      </c>
      <c r="K302" s="3">
        <v>273</v>
      </c>
      <c r="L302" s="3">
        <v>6279</v>
      </c>
    </row>
    <row r="303" spans="1:12">
      <c r="A303" s="3" t="s">
        <v>175</v>
      </c>
      <c r="B303" s="25">
        <v>46234</v>
      </c>
      <c r="C303" s="3" t="s">
        <v>44</v>
      </c>
      <c r="D303" s="3" t="s">
        <v>44</v>
      </c>
      <c r="E303" s="3" t="s">
        <v>176</v>
      </c>
      <c r="F303" s="3" t="s">
        <v>103</v>
      </c>
      <c r="G303" s="3" t="s">
        <v>32</v>
      </c>
      <c r="H303" s="3" t="s">
        <v>58</v>
      </c>
      <c r="I303" s="3" t="s">
        <v>23</v>
      </c>
      <c r="J303" s="3">
        <v>15</v>
      </c>
      <c r="K303" s="3">
        <v>456</v>
      </c>
      <c r="L303" s="3">
        <v>6840</v>
      </c>
    </row>
    <row r="304" spans="1:12">
      <c r="A304" s="3" t="s">
        <v>202</v>
      </c>
      <c r="B304" s="25">
        <v>46234</v>
      </c>
      <c r="C304" s="3" t="s">
        <v>44</v>
      </c>
      <c r="D304" s="3" t="s">
        <v>44</v>
      </c>
      <c r="E304" s="3" t="s">
        <v>45</v>
      </c>
      <c r="F304" s="3" t="s">
        <v>46</v>
      </c>
      <c r="G304" s="3" t="s">
        <v>14</v>
      </c>
      <c r="H304" s="3" t="s">
        <v>22</v>
      </c>
      <c r="I304" s="3" t="s">
        <v>23</v>
      </c>
      <c r="J304" s="3">
        <v>4</v>
      </c>
      <c r="K304" s="3">
        <v>410</v>
      </c>
      <c r="L304" s="3">
        <v>1640</v>
      </c>
    </row>
    <row r="305" spans="1:12">
      <c r="A305" s="3" t="s">
        <v>203</v>
      </c>
      <c r="B305" s="25">
        <v>46234</v>
      </c>
      <c r="C305" s="3" t="s">
        <v>110</v>
      </c>
      <c r="D305" s="3" t="s">
        <v>95</v>
      </c>
      <c r="E305" s="3" t="s">
        <v>204</v>
      </c>
      <c r="F305" s="3" t="s">
        <v>137</v>
      </c>
      <c r="G305" s="3" t="s">
        <v>14</v>
      </c>
      <c r="H305" s="3" t="s">
        <v>15</v>
      </c>
      <c r="I305" s="3" t="s">
        <v>16</v>
      </c>
      <c r="J305" s="3">
        <v>18</v>
      </c>
      <c r="K305" s="3">
        <v>738</v>
      </c>
      <c r="L305" s="3">
        <v>13284</v>
      </c>
    </row>
    <row r="306" spans="1:12">
      <c r="A306" s="3" t="s">
        <v>202</v>
      </c>
      <c r="B306" s="25">
        <v>46234</v>
      </c>
      <c r="C306" s="3" t="s">
        <v>25</v>
      </c>
      <c r="D306" s="3" t="s">
        <v>25</v>
      </c>
      <c r="E306" s="3" t="s">
        <v>82</v>
      </c>
      <c r="F306" s="3" t="s">
        <v>83</v>
      </c>
      <c r="G306" s="3" t="s">
        <v>41</v>
      </c>
      <c r="H306" s="3" t="s">
        <v>28</v>
      </c>
      <c r="I306" s="3" t="s">
        <v>23</v>
      </c>
      <c r="J306" s="3">
        <v>7</v>
      </c>
      <c r="K306" s="3">
        <v>274</v>
      </c>
      <c r="L306" s="3">
        <v>1918</v>
      </c>
    </row>
    <row r="307" spans="1:12">
      <c r="A307" s="3" t="s">
        <v>203</v>
      </c>
      <c r="B307" s="25">
        <v>46234</v>
      </c>
      <c r="C307" s="3" t="s">
        <v>38</v>
      </c>
      <c r="D307" s="3" t="s">
        <v>139</v>
      </c>
      <c r="E307" s="3" t="s">
        <v>298</v>
      </c>
      <c r="F307" s="3" t="s">
        <v>137</v>
      </c>
      <c r="G307" s="3" t="s">
        <v>50</v>
      </c>
      <c r="H307" s="3" t="s">
        <v>28</v>
      </c>
      <c r="I307" s="3" t="s">
        <v>23</v>
      </c>
      <c r="J307" s="3">
        <v>3</v>
      </c>
      <c r="K307" s="3">
        <v>284</v>
      </c>
      <c r="L307" s="3">
        <v>852</v>
      </c>
    </row>
    <row r="308" spans="1:12">
      <c r="A308" s="3" t="s">
        <v>175</v>
      </c>
      <c r="B308" s="25">
        <v>46234</v>
      </c>
      <c r="C308" s="3" t="s">
        <v>52</v>
      </c>
      <c r="D308" s="3" t="s">
        <v>25</v>
      </c>
      <c r="E308" s="3" t="s">
        <v>301</v>
      </c>
      <c r="F308" s="3" t="s">
        <v>103</v>
      </c>
      <c r="G308" s="3" t="s">
        <v>14</v>
      </c>
      <c r="H308" s="3" t="s">
        <v>22</v>
      </c>
      <c r="I308" s="3" t="s">
        <v>23</v>
      </c>
      <c r="J308" s="3">
        <v>10</v>
      </c>
      <c r="K308" s="3">
        <v>415</v>
      </c>
      <c r="L308" s="3">
        <v>4150</v>
      </c>
    </row>
    <row r="309" spans="1:12">
      <c r="A309" s="3" t="s">
        <v>202</v>
      </c>
      <c r="B309" s="25">
        <v>46234</v>
      </c>
      <c r="C309" s="3" t="s">
        <v>88</v>
      </c>
      <c r="D309" s="3" t="s">
        <v>25</v>
      </c>
      <c r="E309" s="3" t="s">
        <v>238</v>
      </c>
      <c r="F309" s="3" t="s">
        <v>239</v>
      </c>
      <c r="G309" s="3" t="s">
        <v>14</v>
      </c>
      <c r="H309" s="3" t="s">
        <v>28</v>
      </c>
      <c r="I309" s="3" t="s">
        <v>23</v>
      </c>
      <c r="J309" s="3">
        <v>7</v>
      </c>
      <c r="K309" s="3">
        <v>300</v>
      </c>
      <c r="L309" s="3">
        <v>2100</v>
      </c>
    </row>
    <row r="310" spans="1:12">
      <c r="A310" s="3" t="s">
        <v>203</v>
      </c>
      <c r="B310" s="25">
        <v>46234</v>
      </c>
      <c r="C310" s="3" t="s">
        <v>38</v>
      </c>
      <c r="D310" s="3" t="s">
        <v>139</v>
      </c>
      <c r="E310" s="3" t="s">
        <v>253</v>
      </c>
      <c r="F310" s="3" t="s">
        <v>239</v>
      </c>
      <c r="G310" s="3" t="s">
        <v>21</v>
      </c>
      <c r="H310" s="3" t="s">
        <v>42</v>
      </c>
      <c r="I310" s="3" t="s">
        <v>23</v>
      </c>
      <c r="J310" s="3">
        <v>6</v>
      </c>
      <c r="K310" s="3">
        <v>439</v>
      </c>
      <c r="L310" s="3">
        <v>2634</v>
      </c>
    </row>
    <row r="311" spans="1:12">
      <c r="A311" s="3" t="s">
        <v>203</v>
      </c>
      <c r="B311" s="25">
        <v>46234</v>
      </c>
      <c r="C311" s="3" t="s">
        <v>11</v>
      </c>
      <c r="D311" s="3" t="s">
        <v>120</v>
      </c>
      <c r="E311" s="3" t="s">
        <v>185</v>
      </c>
      <c r="F311" s="3" t="s">
        <v>36</v>
      </c>
      <c r="G311" s="3" t="s">
        <v>50</v>
      </c>
      <c r="H311" s="3" t="s">
        <v>33</v>
      </c>
      <c r="I311" s="3" t="s">
        <v>23</v>
      </c>
      <c r="J311" s="3">
        <v>2</v>
      </c>
      <c r="K311" s="3">
        <v>401</v>
      </c>
      <c r="L311" s="3">
        <v>802</v>
      </c>
    </row>
  </sheetData>
  <autoFilter ref="A1:L311" xr:uid="{6C5A5BD8-6F38-4323-AAED-701C6191C4B1}">
    <sortState xmlns:xlrd2="http://schemas.microsoft.com/office/spreadsheetml/2017/richdata2" ref="A2:L311">
      <sortCondition ref="B1:B321"/>
    </sortState>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EA719-DF76-4264-A5F7-CD2A26250420}">
  <dimension ref="A1:E13"/>
  <sheetViews>
    <sheetView workbookViewId="0">
      <selection activeCell="D15" sqref="D15"/>
    </sheetView>
  </sheetViews>
  <sheetFormatPr defaultColWidth="20" defaultRowHeight="36" customHeight="1"/>
  <cols>
    <col min="1" max="1" width="46.44140625" customWidth="1"/>
    <col min="3" max="3" width="28.5546875" customWidth="1"/>
    <col min="4" max="4" width="40.109375" customWidth="1"/>
    <col min="5" max="5" width="48.33203125" customWidth="1"/>
  </cols>
  <sheetData>
    <row r="1" spans="1:5" ht="36" customHeight="1">
      <c r="A1" s="30" t="s">
        <v>367</v>
      </c>
      <c r="B1" s="31"/>
      <c r="C1" s="31"/>
      <c r="D1" s="31"/>
      <c r="E1" s="32"/>
    </row>
    <row r="2" spans="1:5" ht="25.2" customHeight="1"/>
    <row r="3" spans="1:5" ht="36" customHeight="1">
      <c r="A3" s="7" t="s">
        <v>335</v>
      </c>
      <c r="B3" s="7" t="s">
        <v>336</v>
      </c>
      <c r="C3" s="7" t="s">
        <v>337</v>
      </c>
      <c r="D3" s="7" t="s">
        <v>338</v>
      </c>
      <c r="E3" s="7" t="s">
        <v>339</v>
      </c>
    </row>
    <row r="4" spans="1:5" ht="36" customHeight="1">
      <c r="A4" s="8" t="s">
        <v>340</v>
      </c>
      <c r="B4" s="8" t="s">
        <v>1</v>
      </c>
      <c r="C4" s="8" t="s">
        <v>341</v>
      </c>
      <c r="D4" s="8" t="s">
        <v>342</v>
      </c>
      <c r="E4" s="8" t="s">
        <v>343</v>
      </c>
    </row>
    <row r="5" spans="1:5" ht="36" customHeight="1">
      <c r="A5" s="8" t="s">
        <v>344</v>
      </c>
      <c r="B5" s="8" t="s">
        <v>0</v>
      </c>
      <c r="C5" s="8" t="s">
        <v>345</v>
      </c>
      <c r="D5" s="8" t="s">
        <v>346</v>
      </c>
      <c r="E5" s="8" t="s">
        <v>347</v>
      </c>
    </row>
    <row r="6" spans="1:5" ht="36" customHeight="1">
      <c r="A6" s="8" t="s">
        <v>348</v>
      </c>
      <c r="B6" s="8" t="s">
        <v>5</v>
      </c>
      <c r="C6" s="8">
        <v>2</v>
      </c>
      <c r="D6" s="8" t="s">
        <v>349</v>
      </c>
      <c r="E6" s="8" t="s">
        <v>350</v>
      </c>
    </row>
    <row r="7" spans="1:5" ht="36" customHeight="1">
      <c r="A7" s="8" t="s">
        <v>351</v>
      </c>
      <c r="B7" s="8" t="s">
        <v>352</v>
      </c>
      <c r="C7" s="8" t="s">
        <v>353</v>
      </c>
      <c r="D7" s="8" t="s">
        <v>354</v>
      </c>
      <c r="E7" s="8" t="s">
        <v>355</v>
      </c>
    </row>
    <row r="8" spans="1:5" ht="36" customHeight="1">
      <c r="A8" s="8" t="s">
        <v>356</v>
      </c>
      <c r="B8" s="8" t="s">
        <v>357</v>
      </c>
      <c r="C8" s="8">
        <v>5</v>
      </c>
      <c r="D8" s="8" t="s">
        <v>358</v>
      </c>
      <c r="E8" s="8" t="s">
        <v>359</v>
      </c>
    </row>
    <row r="9" spans="1:5" ht="36" customHeight="1">
      <c r="A9" s="8" t="s">
        <v>360</v>
      </c>
      <c r="B9" s="8" t="s">
        <v>3</v>
      </c>
      <c r="C9" s="8" t="s">
        <v>361</v>
      </c>
      <c r="D9" s="8" t="s">
        <v>362</v>
      </c>
      <c r="E9" s="8" t="s">
        <v>363</v>
      </c>
    </row>
    <row r="10" spans="1:5" ht="36" customHeight="1">
      <c r="A10" s="8" t="s">
        <v>364</v>
      </c>
      <c r="B10" s="8" t="s">
        <v>0</v>
      </c>
      <c r="C10" s="8" t="s">
        <v>361</v>
      </c>
      <c r="D10" s="8" t="s">
        <v>365</v>
      </c>
      <c r="E10" s="8" t="s">
        <v>366</v>
      </c>
    </row>
    <row r="12" spans="1:5" ht="36" customHeight="1">
      <c r="A12" s="33" t="s">
        <v>368</v>
      </c>
      <c r="B12" s="34"/>
      <c r="C12" s="35"/>
    </row>
    <row r="13" spans="1:5" ht="36" customHeight="1">
      <c r="A13" s="36" t="s">
        <v>369</v>
      </c>
      <c r="B13" s="37"/>
      <c r="C13" s="38"/>
    </row>
  </sheetData>
  <mergeCells count="3">
    <mergeCell ref="A1:E1"/>
    <mergeCell ref="A12:C12"/>
    <mergeCell ref="A13:C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48D3A-F758-4B49-9BEE-E45232565274}">
  <dimension ref="A1:M51"/>
  <sheetViews>
    <sheetView topLeftCell="A29" workbookViewId="0">
      <selection activeCell="B32" sqref="B32:C32"/>
    </sheetView>
  </sheetViews>
  <sheetFormatPr defaultRowHeight="14.4"/>
  <cols>
    <col min="1" max="1" width="27.21875" bestFit="1" customWidth="1"/>
    <col min="2" max="2" width="15.5546875" bestFit="1" customWidth="1"/>
    <col min="3" max="3" width="7" bestFit="1" customWidth="1"/>
    <col min="4" max="4" width="10.77734375" bestFit="1" customWidth="1"/>
    <col min="5" max="5" width="10.33203125" customWidth="1"/>
    <col min="6" max="6" width="23.77734375" bestFit="1" customWidth="1"/>
    <col min="7" max="7" width="15.5546875" bestFit="1" customWidth="1"/>
    <col min="8" max="8" width="5.21875" bestFit="1" customWidth="1"/>
    <col min="9" max="9" width="10.77734375" bestFit="1" customWidth="1"/>
    <col min="10" max="10" width="18.77734375" customWidth="1"/>
    <col min="11" max="11" width="16.88671875" customWidth="1"/>
    <col min="12" max="66" width="10.33203125" bestFit="1" customWidth="1"/>
    <col min="67" max="67" width="10.77734375" bestFit="1" customWidth="1"/>
  </cols>
  <sheetData>
    <row r="1" spans="1:13" ht="15.6">
      <c r="B1" s="41" t="s">
        <v>382</v>
      </c>
      <c r="C1" s="42"/>
      <c r="D1" s="42"/>
      <c r="E1" s="42"/>
      <c r="F1" s="43"/>
      <c r="G1" s="24"/>
      <c r="H1" s="24"/>
      <c r="I1" s="24"/>
      <c r="J1" s="24"/>
      <c r="K1" s="24"/>
      <c r="L1" s="24"/>
      <c r="M1" s="24"/>
    </row>
    <row r="3" spans="1:13">
      <c r="A3" s="10" t="s">
        <v>375</v>
      </c>
      <c r="B3" s="10" t="s">
        <v>372</v>
      </c>
    </row>
    <row r="4" spans="1:13" ht="15.6">
      <c r="A4" s="10" t="s">
        <v>370</v>
      </c>
      <c r="B4" t="s">
        <v>373</v>
      </c>
      <c r="C4" t="s">
        <v>374</v>
      </c>
      <c r="D4" t="s">
        <v>371</v>
      </c>
      <c r="F4" s="13" t="s">
        <v>376</v>
      </c>
      <c r="G4" s="13" t="s">
        <v>377</v>
      </c>
    </row>
    <row r="5" spans="1:13">
      <c r="A5" s="3" t="s">
        <v>139</v>
      </c>
      <c r="B5">
        <v>169048</v>
      </c>
      <c r="C5">
        <v>206204</v>
      </c>
      <c r="D5">
        <v>375252</v>
      </c>
      <c r="F5" s="11">
        <f>GETPIVOTDATA("Sales_Value",$A$3,"Distributor_Clean","Chennai South Distribution","Months (Date_Clean)",7)-GETPIVOTDATA("Sales_Value",$A$3,"Distributor_Clean","Chennai South Distribution","Months (Date_Clean)",6)</f>
        <v>37156</v>
      </c>
      <c r="G5" s="14">
        <f>F5/GETPIVOTDATA("Sales_Value",$A$3,"Distributor_Clean","Chennai South Distribution","Months (Date_Clean)",6)</f>
        <v>0.21979556102408784</v>
      </c>
    </row>
    <row r="6" spans="1:13">
      <c r="A6" s="3" t="s">
        <v>25</v>
      </c>
      <c r="B6">
        <v>212505</v>
      </c>
      <c r="C6">
        <v>211424</v>
      </c>
      <c r="D6">
        <v>423929</v>
      </c>
      <c r="F6" s="12">
        <f>GETPIVOTDATA("Sales_Value",$A$3,"Distributor_Clean","Coimbatore Agro Traders","Months (Date_Clean)",7)-GETPIVOTDATA("Sales_Value",$A$3,"Distributor_Clean","Coimbatore Agro Traders","Months (Date_Clean)",6)</f>
        <v>-1081</v>
      </c>
      <c r="G6" s="15">
        <f>F6/GETPIVOTDATA("Sales_Value",$A$3,"Distributor_Clean","Coimbatore Agro Traders","Months (Date_Clean)",6)</f>
        <v>-5.0869391308439801E-3</v>
      </c>
    </row>
    <row r="7" spans="1:13">
      <c r="A7" s="3" t="s">
        <v>95</v>
      </c>
      <c r="B7">
        <v>120583</v>
      </c>
      <c r="C7">
        <v>207986</v>
      </c>
      <c r="D7">
        <v>328569</v>
      </c>
      <c r="F7" s="12">
        <f>GETPIVOTDATA("Sales_Value",$A$3,"Distributor_Clean","Madurai Retail Hub","Months (Date_Clean)",7)-GETPIVOTDATA("Sales_Value",$A$3,"Distributor_Clean","Madurai Retail Hub","Months (Date_Clean)",6)</f>
        <v>87403</v>
      </c>
      <c r="G7" s="15">
        <f>F7/GETPIVOTDATA("Sales_Value",$A$3,"Distributor_Clean","Madurai Retail Hub","Months (Date_Clean)",6)</f>
        <v>0.72483683437963897</v>
      </c>
    </row>
    <row r="8" spans="1:13">
      <c r="A8" s="3" t="s">
        <v>120</v>
      </c>
      <c r="B8">
        <v>139078</v>
      </c>
      <c r="C8">
        <v>206928</v>
      </c>
      <c r="D8">
        <v>346006</v>
      </c>
      <c r="F8" s="12">
        <f>GETPIVOTDATA("Sales_Value",$A$3,"Distributor_Clean","Salem Fresh Foods","Months (Date_Clean)",7)-GETPIVOTDATA("Sales_Value",$A$3,"Distributor_Clean","Salem Fresh Foods","Months (Date_Clean)",6)</f>
        <v>67850</v>
      </c>
      <c r="G8" s="15">
        <f>F8/GETPIVOTDATA("Sales_Value",$A$3,"Distributor_Clean","Salem Fresh Foods","Months (Date_Clean)",6)</f>
        <v>0.48785573563036572</v>
      </c>
    </row>
    <row r="9" spans="1:13">
      <c r="A9" s="3" t="s">
        <v>44</v>
      </c>
      <c r="B9">
        <v>201019</v>
      </c>
      <c r="C9">
        <v>125043</v>
      </c>
      <c r="D9">
        <v>326062</v>
      </c>
      <c r="F9" s="12">
        <f>GETPIVOTDATA("Sales_Value",$A$3,"Distributor_Clean","Trichy Central Distributors","Months (Date_Clean)",7)-GETPIVOTDATA("Sales_Value",$A$3,"Distributor_Clean","Trichy Central Distributors","Months (Date_Clean)",6)</f>
        <v>-75976</v>
      </c>
      <c r="G9" s="15">
        <f>F9/GETPIVOTDATA("Sales_Value",$A$3,"Distributor_Clean","Trichy Central Distributors","Months (Date_Clean)",6)</f>
        <v>-0.3779543227257125</v>
      </c>
    </row>
    <row r="10" spans="1:13">
      <c r="A10" s="3" t="s">
        <v>371</v>
      </c>
      <c r="B10">
        <v>842233</v>
      </c>
      <c r="C10">
        <v>957585</v>
      </c>
      <c r="D10">
        <v>1799818</v>
      </c>
      <c r="F10" s="12">
        <f>SUM(F5:F9)</f>
        <v>115352</v>
      </c>
      <c r="G10" s="15">
        <f>F10/GETPIVOTDATA("Sales_Value",$A$3,"Months (Date_Clean)",6)</f>
        <v>0.13695972492172592</v>
      </c>
    </row>
    <row r="13" spans="1:13">
      <c r="A13" s="10" t="s">
        <v>375</v>
      </c>
      <c r="B13" s="10" t="s">
        <v>372</v>
      </c>
    </row>
    <row r="14" spans="1:13" ht="15.6">
      <c r="A14" s="10" t="s">
        <v>370</v>
      </c>
      <c r="B14" t="s">
        <v>373</v>
      </c>
      <c r="C14" t="s">
        <v>374</v>
      </c>
      <c r="D14" t="s">
        <v>371</v>
      </c>
      <c r="F14" s="13" t="s">
        <v>376</v>
      </c>
      <c r="G14" s="13" t="s">
        <v>377</v>
      </c>
    </row>
    <row r="15" spans="1:13">
      <c r="A15" s="3" t="s">
        <v>16</v>
      </c>
      <c r="B15">
        <v>239472</v>
      </c>
      <c r="C15">
        <v>267718</v>
      </c>
      <c r="D15">
        <v>507190</v>
      </c>
      <c r="F15" s="11">
        <f>GETPIVOTDATA("Sales_Value",$A$13,"Category","Ghee","Months (Date_Clean)",7)-GETPIVOTDATA("Sales_Value",$A$13,"Category","Ghee","Months (Date_Clean)",6)</f>
        <v>28246</v>
      </c>
      <c r="G15" s="14">
        <f>F15/GETPIVOTDATA("Sales_Value",$A$13,"Category","Ghee","Months (Date_Clean)",6)</f>
        <v>0.11795115921694395</v>
      </c>
    </row>
    <row r="16" spans="1:13">
      <c r="A16" s="3" t="s">
        <v>23</v>
      </c>
      <c r="B16">
        <v>602761</v>
      </c>
      <c r="C16">
        <v>689867</v>
      </c>
      <c r="D16">
        <v>1292628</v>
      </c>
      <c r="F16" s="11">
        <f>GETPIVOTDATA("Sales_Value",$A$13,"Category","Oils","Months (Date_Clean)",7)-GETPIVOTDATA("Sales_Value",$A$13,"Category","Oils","Months (Date_Clean)",6)</f>
        <v>87106</v>
      </c>
      <c r="G16" s="14">
        <f>F16/GETPIVOTDATA("Sales_Value",$A$13,"Category","Oils","Months (Date_Clean)",6)</f>
        <v>0.14451167212211805</v>
      </c>
    </row>
    <row r="17" spans="1:7">
      <c r="A17" s="3" t="s">
        <v>371</v>
      </c>
      <c r="B17">
        <v>842233</v>
      </c>
      <c r="C17">
        <v>957585</v>
      </c>
      <c r="D17">
        <v>1799818</v>
      </c>
      <c r="F17" s="11">
        <f>SUM(F15:F16)</f>
        <v>115352</v>
      </c>
      <c r="G17" s="14">
        <f>F17/GETPIVOTDATA("Sales_Value",$A$13,"Months (Date_Clean)",6)</f>
        <v>0.13695972492172592</v>
      </c>
    </row>
    <row r="20" spans="1:7">
      <c r="A20" s="10" t="s">
        <v>375</v>
      </c>
      <c r="B20" s="10" t="s">
        <v>372</v>
      </c>
    </row>
    <row r="21" spans="1:7" ht="15.6">
      <c r="A21" s="10" t="s">
        <v>370</v>
      </c>
      <c r="B21" t="s">
        <v>373</v>
      </c>
      <c r="C21" t="s">
        <v>374</v>
      </c>
      <c r="D21" t="s">
        <v>371</v>
      </c>
      <c r="F21" s="13" t="s">
        <v>376</v>
      </c>
      <c r="G21" s="13" t="s">
        <v>377</v>
      </c>
    </row>
    <row r="22" spans="1:7">
      <c r="A22" s="3" t="s">
        <v>15</v>
      </c>
      <c r="B22" s="45">
        <v>239472</v>
      </c>
      <c r="C22" s="45">
        <v>267718</v>
      </c>
      <c r="D22" s="45">
        <v>507190</v>
      </c>
      <c r="F22" s="11">
        <f>GETPIVOTDATA("Sales_Value",$A$20,"SKU","A2 Bilona Ghee 500ml","Months (Date_Clean)",7)-GETPIVOTDATA("Sales_Value",$A$20,"SKU","A2 Bilona Ghee 500ml","Months (Date_Clean)",6)</f>
        <v>28246</v>
      </c>
      <c r="G22" s="14">
        <f>F22/GETPIVOTDATA("Sales_Value",$A$20,"SKU","A2 Bilona Ghee 500ml","Months (Date_Clean)",6)</f>
        <v>0.11795115921694395</v>
      </c>
    </row>
    <row r="23" spans="1:7">
      <c r="A23" s="3" t="s">
        <v>28</v>
      </c>
      <c r="B23" s="45">
        <v>108242</v>
      </c>
      <c r="C23" s="45">
        <v>81652</v>
      </c>
      <c r="D23" s="45">
        <v>189894</v>
      </c>
      <c r="F23" s="11">
        <f>GETPIVOTDATA("Sales_Value",$A$20,"SKU","Cold Pressed Coconut Oil 500ml","Months (Date_Clean)",7)-GETPIVOTDATA("Sales_Value",$A$20,"SKU","Cold Pressed Coconut Oil 500ml","Months (Date_Clean)",6)</f>
        <v>-26590</v>
      </c>
      <c r="G23" s="14">
        <f>F23/GETPIVOTDATA("Sales_Value",$A$20,"SKU","Cold Pressed Coconut Oil 500ml","Months (Date_Clean)",6)</f>
        <v>-0.24565325843942276</v>
      </c>
    </row>
    <row r="24" spans="1:7">
      <c r="A24" s="3" t="s">
        <v>42</v>
      </c>
      <c r="B24" s="45">
        <v>119036</v>
      </c>
      <c r="C24" s="45">
        <v>169503</v>
      </c>
      <c r="D24" s="45">
        <v>288539</v>
      </c>
      <c r="F24" s="11">
        <f>GETPIVOTDATA("Sales_Value",$A$20,"SKU","Cold Pressed Groundnut Oil 1L","Months (Date_Clean)",7)-GETPIVOTDATA("Sales_Value",$A$20,"SKU","Cold Pressed Groundnut Oil 1L","Months (Date_Clean)",6)</f>
        <v>50467</v>
      </c>
      <c r="G24" s="14">
        <f>F24/GETPIVOTDATA("Sales_Value",$A$20,"SKU","Cold Pressed Groundnut Oil 1L","Months (Date_Clean)",6)</f>
        <v>0.42396417890386101</v>
      </c>
    </row>
    <row r="25" spans="1:7">
      <c r="A25" s="3" t="s">
        <v>58</v>
      </c>
      <c r="B25" s="45">
        <v>111911</v>
      </c>
      <c r="C25" s="45">
        <v>145192</v>
      </c>
      <c r="D25" s="45">
        <v>257103</v>
      </c>
      <c r="F25" s="12">
        <f>GETPIVOTDATA("Sales_Value",$A$20,"SKU","Cold Pressed Sesame Oil 1L","Months (Date_Clean)",7)-GETPIVOTDATA("Sales_Value",$A$20,"SKU","Cold Pressed Sesame Oil 1L","Months (Date_Clean)",6)</f>
        <v>33281</v>
      </c>
      <c r="G25" s="15">
        <f>F25/GETPIVOTDATA("Sales_Value",$A$20,"SKU","Cold Pressed Sesame Oil 1L","Months (Date_Clean)",6)</f>
        <v>0.29738810304617064</v>
      </c>
    </row>
    <row r="26" spans="1:7">
      <c r="A26" s="3" t="s">
        <v>33</v>
      </c>
      <c r="B26" s="45">
        <v>92931</v>
      </c>
      <c r="C26" s="45">
        <v>139282</v>
      </c>
      <c r="D26" s="45">
        <v>232213</v>
      </c>
      <c r="F26" s="12">
        <f>GETPIVOTDATA("Sales_Value",$A$20,"SKU","Cold Pressed Sunflower Oil 1L","Months (Date_Clean)",7)-GETPIVOTDATA("Sales_Value",$A$20,"SKU","Cold Pressed Sunflower Oil 1L","Months (Date_Clean)",6)</f>
        <v>46351</v>
      </c>
      <c r="G26" s="15">
        <f>F26/GETPIVOTDATA("Sales_Value",$A$20,"SKU","Cold Pressed Sunflower Oil 1L","Months (Date_Clean)",6)</f>
        <v>0.49876790306786756</v>
      </c>
    </row>
    <row r="27" spans="1:7">
      <c r="A27" s="3" t="s">
        <v>22</v>
      </c>
      <c r="B27" s="45">
        <v>170641</v>
      </c>
      <c r="C27" s="45">
        <v>154238</v>
      </c>
      <c r="D27" s="45">
        <v>324879</v>
      </c>
      <c r="F27" s="12">
        <f>GETPIVOTDATA("Sales_Value",$A$20,"SKU","Wood Pressed Mustard Oil 1L","Months (Date_Clean)",7)-GETPIVOTDATA("Sales_Value",$A$20,"SKU","Wood Pressed Mustard Oil 1L","Months (Date_Clean)",6)</f>
        <v>-16403</v>
      </c>
      <c r="G27" s="15">
        <f>F27/GETPIVOTDATA("Sales_Value",$A$20,"SKU","Wood Pressed Mustard Oil 1L","Months (Date_Clean)",6)</f>
        <v>-9.6125784541815862E-2</v>
      </c>
    </row>
    <row r="28" spans="1:7">
      <c r="A28" s="3" t="s">
        <v>371</v>
      </c>
      <c r="B28" s="45">
        <v>842233</v>
      </c>
      <c r="C28" s="45">
        <v>957585</v>
      </c>
      <c r="D28" s="45">
        <v>1799818</v>
      </c>
      <c r="F28" s="12">
        <f>GETPIVOTDATA("Sales_Value",$A$20,"Months (Date_Clean)",7)-GETPIVOTDATA("Sales_Value",$A$20,"Months (Date_Clean)",6)</f>
        <v>115352</v>
      </c>
      <c r="G28" s="15">
        <f>F28/GETPIVOTDATA("Sales_Value",$A$20,"Months (Date_Clean)",6)</f>
        <v>0.13695972492172592</v>
      </c>
    </row>
    <row r="32" spans="1:7" ht="15.6">
      <c r="A32" s="16" t="s">
        <v>378</v>
      </c>
      <c r="B32" s="39" t="s">
        <v>380</v>
      </c>
      <c r="C32" s="40"/>
      <c r="F32" s="10" t="s">
        <v>381</v>
      </c>
      <c r="G32" s="10" t="s">
        <v>372</v>
      </c>
    </row>
    <row r="33" spans="1:11">
      <c r="A33" s="9"/>
      <c r="B33" s="19"/>
      <c r="C33" s="19"/>
      <c r="G33" t="s">
        <v>373</v>
      </c>
      <c r="H33" t="s">
        <v>374</v>
      </c>
    </row>
    <row r="34" spans="1:11" ht="15.6">
      <c r="A34" s="17" t="s">
        <v>5</v>
      </c>
      <c r="B34" s="17" t="s">
        <v>373</v>
      </c>
      <c r="C34" s="20"/>
      <c r="F34" s="10" t="s">
        <v>370</v>
      </c>
      <c r="J34" s="13" t="s">
        <v>376</v>
      </c>
      <c r="K34" s="13" t="s">
        <v>377</v>
      </c>
    </row>
    <row r="35" spans="1:11">
      <c r="A35" s="23" t="s">
        <v>15</v>
      </c>
      <c r="B35" s="11">
        <v>239472</v>
      </c>
      <c r="C35" s="21"/>
      <c r="F35" s="3" t="s">
        <v>139</v>
      </c>
      <c r="G35">
        <v>10</v>
      </c>
      <c r="H35">
        <v>10</v>
      </c>
      <c r="J35" s="11">
        <f>GETPIVOTDATA("[Measures].[Distinct Count of Outlet_ID]",$F$32,"[Range].[Distributor_Clean]","[Range].[Distributor_Clean].&amp;[Chennai South Distribution]","[Range].[Date_Clean (Month)]","[Range].[Date_Clean (Month)].&amp;[Jul]")-GETPIVOTDATA("[Measures].[Distinct Count of Outlet_ID]",$F$32,"[Range].[Distributor_Clean]","[Range].[Distributor_Clean].&amp;[Chennai South Distribution]","[Range].[Date_Clean (Month)]","[Range].[Date_Clean (Month)].&amp;[Jun]")</f>
        <v>0</v>
      </c>
      <c r="K35" s="14">
        <f>J35/GETPIVOTDATA("[Measures].[Distinct Count of Outlet_ID]",$F$32,"[Range].[Distributor_Clean]","[Range].[Distributor_Clean].&amp;[Chennai South Distribution]","[Range].[Date_Clean (Month)]","[Range].[Date_Clean (Month)].&amp;[Jun]")</f>
        <v>0</v>
      </c>
    </row>
    <row r="36" spans="1:11">
      <c r="A36" s="23" t="s">
        <v>22</v>
      </c>
      <c r="B36" s="11">
        <v>170641</v>
      </c>
      <c r="C36" s="21"/>
      <c r="F36" s="3" t="s">
        <v>25</v>
      </c>
      <c r="G36">
        <v>13</v>
      </c>
      <c r="H36">
        <v>11</v>
      </c>
      <c r="J36" s="11">
        <f>GETPIVOTDATA("[Measures].[Distinct Count of Outlet_ID]",$F$32,"[Range].[Distributor_Clean]","[Range].[Distributor_Clean].&amp;[Coimbatore Agro Traders]","[Range].[Date_Clean (Month)]","[Range].[Date_Clean (Month)].&amp;[Jul]")-GETPIVOTDATA("[Measures].[Distinct Count of Outlet_ID]",$F$32,"[Range].[Distributor_Clean]","[Range].[Distributor_Clean].&amp;[Coimbatore Agro Traders]","[Range].[Date_Clean (Month)]","[Range].[Date_Clean (Month)].&amp;[Jun]")</f>
        <v>-2</v>
      </c>
      <c r="K36" s="14">
        <f>J36/GETPIVOTDATA("[Measures].[Distinct Count of Outlet_ID]",$F$32,"[Range].[Distributor_Clean]","[Range].[Distributor_Clean].&amp;[Coimbatore Agro Traders]","[Range].[Date_Clean (Month)]","[Range].[Date_Clean (Month)].&amp;[Jun]")</f>
        <v>-0.15384615384615385</v>
      </c>
    </row>
    <row r="37" spans="1:11">
      <c r="A37" s="23" t="s">
        <v>42</v>
      </c>
      <c r="B37" s="11">
        <v>119036</v>
      </c>
      <c r="C37" s="21"/>
      <c r="F37" s="3" t="s">
        <v>95</v>
      </c>
      <c r="G37">
        <v>8</v>
      </c>
      <c r="H37">
        <v>11</v>
      </c>
      <c r="J37" s="11">
        <f>GETPIVOTDATA("[Measures].[Distinct Count of Outlet_ID]",$F$32,"[Range].[Distributor_Clean]","[Range].[Distributor_Clean].&amp;[Madurai Retail Hub]","[Range].[Date_Clean (Month)]","[Range].[Date_Clean (Month)].&amp;[Jul]")-GETPIVOTDATA("[Measures].[Distinct Count of Outlet_ID]",$F$32,"[Range].[Distributor_Clean]","[Range].[Distributor_Clean].&amp;[Madurai Retail Hub]","[Range].[Date_Clean (Month)]","[Range].[Date_Clean (Month)].&amp;[Jun]")</f>
        <v>3</v>
      </c>
      <c r="K37" s="14">
        <f>J37/GETPIVOTDATA("[Measures].[Distinct Count of Outlet_ID]",$F$32,"[Range].[Distributor_Clean]","[Range].[Distributor_Clean].&amp;[Madurai Retail Hub]","[Range].[Date_Clean (Month)]","[Range].[Date_Clean (Month)].&amp;[Jun]")</f>
        <v>0.375</v>
      </c>
    </row>
    <row r="38" spans="1:11">
      <c r="A38" s="22" t="s">
        <v>58</v>
      </c>
      <c r="B38" s="11">
        <v>111911</v>
      </c>
      <c r="C38" s="21"/>
      <c r="F38" s="3" t="s">
        <v>120</v>
      </c>
      <c r="G38">
        <v>8</v>
      </c>
      <c r="H38">
        <v>11</v>
      </c>
      <c r="J38" s="12">
        <f>GETPIVOTDATA("[Measures].[Distinct Count of Outlet_ID]",$F$32,"[Range].[Distributor_Clean]","[Range].[Distributor_Clean].&amp;[Salem Fresh Foods]","[Range].[Date_Clean (Month)]","[Range].[Date_Clean (Month)].&amp;[Jul]")-GETPIVOTDATA("[Measures].[Distinct Count of Outlet_ID]",$F$32,"[Range].[Distributor_Clean]","[Range].[Distributor_Clean].&amp;[Salem Fresh Foods]","[Range].[Date_Clean (Month)]","[Range].[Date_Clean (Month)].&amp;[Jun]")</f>
        <v>3</v>
      </c>
      <c r="K38" s="15">
        <f>J38/GETPIVOTDATA("[Measures].[Distinct Count of Outlet_ID]",$F$32,"[Range].[Distributor_Clean]","[Range].[Distributor_Clean].&amp;[Salem Fresh Foods]","[Range].[Date_Clean (Month)]","[Range].[Date_Clean (Month)].&amp;[Jun]")</f>
        <v>0.375</v>
      </c>
    </row>
    <row r="39" spans="1:11">
      <c r="A39" s="22" t="s">
        <v>28</v>
      </c>
      <c r="B39" s="11">
        <v>108242</v>
      </c>
      <c r="C39" s="21"/>
      <c r="F39" s="3" t="s">
        <v>44</v>
      </c>
      <c r="G39">
        <v>13</v>
      </c>
      <c r="H39">
        <v>9</v>
      </c>
      <c r="J39" s="12">
        <f>GETPIVOTDATA("[Measures].[Distinct Count of Outlet_ID]",$F$32,"[Range].[Distributor_Clean]","[Range].[Distributor_Clean].&amp;[Trichy Central Distributors]","[Range].[Date_Clean (Month)]","[Range].[Date_Clean (Month)].&amp;[Jul]")-GETPIVOTDATA("[Measures].[Distinct Count of Outlet_ID]",$F$32,"[Range].[Distributor_Clean]","[Range].[Distributor_Clean].&amp;[Trichy Central Distributors]","[Range].[Date_Clean (Month)]","[Range].[Date_Clean (Month)].&amp;[Jun]")</f>
        <v>-4</v>
      </c>
      <c r="K39" s="15">
        <f>J39/GETPIVOTDATA("[Measures].[Distinct Count of Outlet_ID]",$F$32,"[Range].[Distributor_Clean]","[Range].[Distributor_Clean].&amp;[Trichy Central Distributors]","[Range].[Date_Clean (Month)]","[Range].[Date_Clean (Month)].&amp;[Jun]")</f>
        <v>-0.30769230769230771</v>
      </c>
    </row>
    <row r="40" spans="1:11">
      <c r="A40" s="22" t="s">
        <v>33</v>
      </c>
      <c r="B40" s="11">
        <v>92931</v>
      </c>
      <c r="C40" s="21"/>
      <c r="F40" s="3" t="s">
        <v>371</v>
      </c>
      <c r="G40">
        <v>52</v>
      </c>
      <c r="H40">
        <v>52</v>
      </c>
      <c r="J40" s="12">
        <f>SUM(J35:J39)</f>
        <v>0</v>
      </c>
      <c r="K40" s="15">
        <f>J40/GETPIVOTDATA("[Measures].[Distinct Count of Outlet_ID]",$F$32,"[Range].[Date_Clean (Month)]","[Range].[Date_Clean (Month)].&amp;[Jun]")</f>
        <v>0</v>
      </c>
    </row>
    <row r="41" spans="1:11">
      <c r="C41" s="21"/>
      <c r="J41" s="19"/>
      <c r="K41" s="28"/>
    </row>
    <row r="42" spans="1:11" ht="15.6">
      <c r="A42" s="16" t="s">
        <v>379</v>
      </c>
    </row>
    <row r="43" spans="1:11">
      <c r="A43" s="9"/>
      <c r="B43" s="19"/>
    </row>
    <row r="44" spans="1:11">
      <c r="A44" s="17" t="s">
        <v>5</v>
      </c>
      <c r="B44" s="18" t="s">
        <v>374</v>
      </c>
      <c r="C44" s="20"/>
    </row>
    <row r="45" spans="1:11">
      <c r="A45" s="23" t="s">
        <v>15</v>
      </c>
      <c r="B45" s="29">
        <v>267718</v>
      </c>
      <c r="C45" s="21"/>
    </row>
    <row r="46" spans="1:11">
      <c r="A46" s="23" t="s">
        <v>42</v>
      </c>
      <c r="B46" s="29">
        <v>169503</v>
      </c>
      <c r="C46" s="21"/>
    </row>
    <row r="47" spans="1:11">
      <c r="A47" s="23" t="s">
        <v>22</v>
      </c>
      <c r="B47" s="29">
        <v>154238</v>
      </c>
      <c r="C47" s="21"/>
    </row>
    <row r="48" spans="1:11">
      <c r="A48" s="22" t="s">
        <v>58</v>
      </c>
      <c r="B48" s="29">
        <v>145192</v>
      </c>
      <c r="C48" s="21"/>
    </row>
    <row r="49" spans="1:3">
      <c r="A49" s="22" t="s">
        <v>33</v>
      </c>
      <c r="B49" s="29">
        <v>139282</v>
      </c>
      <c r="C49" s="21"/>
    </row>
    <row r="50" spans="1:3">
      <c r="A50" s="22" t="s">
        <v>28</v>
      </c>
      <c r="B50" s="29">
        <v>81652</v>
      </c>
      <c r="C50" s="21"/>
    </row>
    <row r="51" spans="1:3">
      <c r="B51" s="21"/>
      <c r="C51" s="21"/>
    </row>
  </sheetData>
  <sortState xmlns:xlrd2="http://schemas.microsoft.com/office/spreadsheetml/2017/richdata2" ref="A45:B50">
    <sortCondition descending="1" ref="B45:B50"/>
  </sortState>
  <mergeCells count="2">
    <mergeCell ref="B32:C32"/>
    <mergeCell ref="B1:F1"/>
  </mergeCells>
  <pageMargins left="0.7" right="0.7" top="0.75" bottom="0.75" header="0.3" footer="0.3"/>
  <pageSetup orientation="portrait"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F0FF1-32B2-4D99-9914-6ACC30798F6F}">
  <dimension ref="A1:W1"/>
  <sheetViews>
    <sheetView showGridLines="0" tabSelected="1" workbookViewId="0">
      <selection activeCell="P19" sqref="P19"/>
    </sheetView>
  </sheetViews>
  <sheetFormatPr defaultRowHeight="14.4"/>
  <sheetData>
    <row r="1" spans="1:23" ht="23.4">
      <c r="A1" s="44" t="s">
        <v>383</v>
      </c>
      <c r="B1" s="44"/>
      <c r="C1" s="44"/>
      <c r="D1" s="44"/>
      <c r="E1" s="44"/>
      <c r="F1" s="44"/>
      <c r="G1" s="44"/>
      <c r="H1" s="44"/>
      <c r="I1" s="44"/>
      <c r="J1" s="44"/>
      <c r="K1" s="44"/>
      <c r="L1" s="44"/>
      <c r="M1" s="44"/>
      <c r="N1" s="44"/>
      <c r="O1" s="44"/>
      <c r="P1" s="44"/>
      <c r="Q1" s="44"/>
      <c r="R1" s="44"/>
      <c r="S1" s="44"/>
      <c r="T1" s="44"/>
      <c r="U1" s="44"/>
      <c r="V1" s="44"/>
      <c r="W1" s="44"/>
    </row>
  </sheetData>
  <mergeCells count="1">
    <mergeCell ref="A1:W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14980-AB9C-470D-9DF9-20D8CD222849}">
  <dimension ref="A1:L321"/>
  <sheetViews>
    <sheetView workbookViewId="0">
      <selection activeCell="C12" sqref="C12"/>
    </sheetView>
  </sheetViews>
  <sheetFormatPr defaultColWidth="27.77734375" defaultRowHeight="14.4"/>
  <cols>
    <col min="9" max="9" width="18.6640625" customWidth="1"/>
    <col min="10" max="10" width="20.88671875" customWidth="1"/>
  </cols>
  <sheetData>
    <row r="1" spans="1:12" ht="15.6">
      <c r="A1" s="1" t="s">
        <v>0</v>
      </c>
      <c r="B1" s="5" t="s">
        <v>330</v>
      </c>
      <c r="C1" s="1" t="s">
        <v>331</v>
      </c>
      <c r="D1" s="1" t="s">
        <v>332</v>
      </c>
      <c r="E1" s="1" t="s">
        <v>2</v>
      </c>
      <c r="F1" s="1" t="s">
        <v>3</v>
      </c>
      <c r="G1" s="1" t="s">
        <v>4</v>
      </c>
      <c r="H1" s="1" t="s">
        <v>5</v>
      </c>
      <c r="I1" s="1" t="s">
        <v>6</v>
      </c>
      <c r="J1" s="1" t="s">
        <v>7</v>
      </c>
      <c r="K1" s="1" t="s">
        <v>8</v>
      </c>
      <c r="L1" s="1" t="s">
        <v>9</v>
      </c>
    </row>
    <row r="2" spans="1:12">
      <c r="A2" t="s">
        <v>109</v>
      </c>
      <c r="B2" s="6">
        <v>46174</v>
      </c>
      <c r="C2" t="s">
        <v>52</v>
      </c>
      <c r="D2" t="s">
        <v>25</v>
      </c>
      <c r="E2" t="s">
        <v>26</v>
      </c>
      <c r="F2" t="s">
        <v>27</v>
      </c>
      <c r="G2" t="s">
        <v>14</v>
      </c>
      <c r="H2" t="s">
        <v>22</v>
      </c>
      <c r="I2" t="s">
        <v>23</v>
      </c>
      <c r="J2">
        <v>21</v>
      </c>
      <c r="K2">
        <v>422</v>
      </c>
      <c r="L2">
        <v>8862</v>
      </c>
    </row>
    <row r="3" spans="1:12">
      <c r="A3" t="s">
        <v>109</v>
      </c>
      <c r="B3" s="6">
        <v>46174</v>
      </c>
      <c r="C3" t="s">
        <v>25</v>
      </c>
      <c r="D3" t="s">
        <v>25</v>
      </c>
      <c r="E3" t="s">
        <v>163</v>
      </c>
      <c r="F3" t="s">
        <v>164</v>
      </c>
      <c r="G3" t="s">
        <v>32</v>
      </c>
      <c r="H3" t="s">
        <v>58</v>
      </c>
      <c r="I3" t="s">
        <v>23</v>
      </c>
      <c r="J3">
        <v>8</v>
      </c>
      <c r="K3">
        <v>469</v>
      </c>
      <c r="L3">
        <v>3752</v>
      </c>
    </row>
    <row r="4" spans="1:12">
      <c r="A4" t="s">
        <v>233</v>
      </c>
      <c r="B4" s="6">
        <v>46174</v>
      </c>
      <c r="C4" t="s">
        <v>95</v>
      </c>
      <c r="D4" t="s">
        <v>95</v>
      </c>
      <c r="E4" t="s">
        <v>234</v>
      </c>
      <c r="F4" t="s">
        <v>235</v>
      </c>
      <c r="G4" t="s">
        <v>50</v>
      </c>
      <c r="H4" t="s">
        <v>15</v>
      </c>
      <c r="I4" t="s">
        <v>16</v>
      </c>
      <c r="J4">
        <v>18</v>
      </c>
      <c r="K4">
        <v>756</v>
      </c>
      <c r="L4">
        <v>13608</v>
      </c>
    </row>
    <row r="5" spans="1:12">
      <c r="A5" t="s">
        <v>303</v>
      </c>
      <c r="B5" s="6">
        <v>46174</v>
      </c>
      <c r="C5" t="s">
        <v>95</v>
      </c>
      <c r="D5" t="s">
        <v>95</v>
      </c>
      <c r="E5" t="s">
        <v>251</v>
      </c>
      <c r="F5" t="s">
        <v>137</v>
      </c>
      <c r="G5" t="s">
        <v>50</v>
      </c>
      <c r="H5" t="s">
        <v>42</v>
      </c>
      <c r="I5" t="s">
        <v>23</v>
      </c>
      <c r="J5">
        <v>25</v>
      </c>
      <c r="K5">
        <v>418</v>
      </c>
      <c r="L5">
        <v>10450</v>
      </c>
    </row>
    <row r="6" spans="1:12">
      <c r="A6" t="s">
        <v>109</v>
      </c>
      <c r="B6" s="6">
        <v>46174</v>
      </c>
      <c r="C6" t="s">
        <v>88</v>
      </c>
      <c r="D6" t="s">
        <v>25</v>
      </c>
      <c r="E6" t="s">
        <v>316</v>
      </c>
      <c r="F6" t="s">
        <v>112</v>
      </c>
      <c r="G6" t="s">
        <v>14</v>
      </c>
      <c r="H6" t="s">
        <v>22</v>
      </c>
      <c r="I6" t="s">
        <v>23</v>
      </c>
      <c r="J6">
        <v>25</v>
      </c>
      <c r="K6">
        <v>400</v>
      </c>
      <c r="L6">
        <v>10000</v>
      </c>
    </row>
    <row r="7" spans="1:12">
      <c r="A7" t="s">
        <v>264</v>
      </c>
      <c r="B7" s="6">
        <v>46175</v>
      </c>
      <c r="C7" t="s">
        <v>52</v>
      </c>
      <c r="D7" t="s">
        <v>25</v>
      </c>
      <c r="E7" t="s">
        <v>26</v>
      </c>
      <c r="F7" t="s">
        <v>27</v>
      </c>
      <c r="G7" t="s">
        <v>14</v>
      </c>
      <c r="H7" t="s">
        <v>58</v>
      </c>
      <c r="I7" t="s">
        <v>23</v>
      </c>
      <c r="J7">
        <v>13</v>
      </c>
      <c r="K7">
        <v>464</v>
      </c>
      <c r="L7">
        <v>6032</v>
      </c>
    </row>
    <row r="8" spans="1:12">
      <c r="A8" t="s">
        <v>264</v>
      </c>
      <c r="B8" s="6">
        <v>46175</v>
      </c>
      <c r="C8" t="s">
        <v>52</v>
      </c>
      <c r="D8" t="s">
        <v>25</v>
      </c>
      <c r="E8" t="s">
        <v>26</v>
      </c>
      <c r="F8" t="s">
        <v>27</v>
      </c>
      <c r="G8" t="s">
        <v>14</v>
      </c>
      <c r="H8" t="s">
        <v>58</v>
      </c>
      <c r="I8" t="s">
        <v>23</v>
      </c>
      <c r="J8">
        <v>13</v>
      </c>
      <c r="K8">
        <v>464</v>
      </c>
      <c r="L8">
        <v>6032</v>
      </c>
    </row>
    <row r="9" spans="1:12">
      <c r="A9" t="s">
        <v>264</v>
      </c>
      <c r="B9" s="6">
        <v>46175</v>
      </c>
      <c r="C9" t="s">
        <v>120</v>
      </c>
      <c r="D9" t="s">
        <v>120</v>
      </c>
      <c r="E9" t="s">
        <v>68</v>
      </c>
      <c r="F9" t="s">
        <v>36</v>
      </c>
      <c r="G9" t="s">
        <v>50</v>
      </c>
      <c r="H9" t="s">
        <v>15</v>
      </c>
      <c r="I9" t="s">
        <v>16</v>
      </c>
      <c r="J9">
        <v>24</v>
      </c>
      <c r="K9">
        <v>743</v>
      </c>
      <c r="L9">
        <v>17832</v>
      </c>
    </row>
    <row r="10" spans="1:12">
      <c r="A10" t="s">
        <v>312</v>
      </c>
      <c r="B10" s="6">
        <v>46175</v>
      </c>
      <c r="C10" t="s">
        <v>120</v>
      </c>
      <c r="D10" t="s">
        <v>120</v>
      </c>
      <c r="E10" t="s">
        <v>278</v>
      </c>
      <c r="F10" t="s">
        <v>242</v>
      </c>
      <c r="G10" t="s">
        <v>32</v>
      </c>
      <c r="H10" t="s">
        <v>28</v>
      </c>
      <c r="I10" t="s">
        <v>23</v>
      </c>
      <c r="J10">
        <v>18</v>
      </c>
      <c r="K10">
        <v>300</v>
      </c>
      <c r="L10">
        <v>5400</v>
      </c>
    </row>
    <row r="11" spans="1:12">
      <c r="A11" t="s">
        <v>317</v>
      </c>
      <c r="B11" s="6">
        <v>46175</v>
      </c>
      <c r="C11" t="s">
        <v>44</v>
      </c>
      <c r="D11" t="s">
        <v>44</v>
      </c>
      <c r="E11" t="s">
        <v>276</v>
      </c>
      <c r="F11" t="s">
        <v>164</v>
      </c>
      <c r="G11" t="s">
        <v>32</v>
      </c>
      <c r="H11" t="s">
        <v>22</v>
      </c>
      <c r="I11" t="s">
        <v>23</v>
      </c>
      <c r="J11">
        <v>21</v>
      </c>
      <c r="K11">
        <v>398</v>
      </c>
      <c r="L11">
        <v>8358</v>
      </c>
    </row>
    <row r="12" spans="1:12">
      <c r="A12" t="s">
        <v>312</v>
      </c>
      <c r="B12" s="6">
        <v>46175</v>
      </c>
      <c r="C12" t="s">
        <v>11</v>
      </c>
      <c r="D12" t="s">
        <v>120</v>
      </c>
      <c r="E12" t="s">
        <v>327</v>
      </c>
      <c r="F12" t="s">
        <v>36</v>
      </c>
      <c r="G12" t="s">
        <v>21</v>
      </c>
      <c r="H12" t="s">
        <v>28</v>
      </c>
      <c r="I12" t="s">
        <v>23</v>
      </c>
      <c r="J12">
        <v>10</v>
      </c>
      <c r="K12">
        <v>292</v>
      </c>
      <c r="L12">
        <v>2920</v>
      </c>
    </row>
    <row r="13" spans="1:12">
      <c r="A13" t="s">
        <v>51</v>
      </c>
      <c r="B13" s="6">
        <v>46176</v>
      </c>
      <c r="C13" t="s">
        <v>52</v>
      </c>
      <c r="D13" t="s">
        <v>25</v>
      </c>
      <c r="E13" t="s">
        <v>53</v>
      </c>
      <c r="F13" t="s">
        <v>54</v>
      </c>
      <c r="G13" t="s">
        <v>50</v>
      </c>
      <c r="H13" t="s">
        <v>28</v>
      </c>
      <c r="I13" t="s">
        <v>23</v>
      </c>
      <c r="J13">
        <v>21</v>
      </c>
      <c r="K13">
        <v>297</v>
      </c>
      <c r="L13">
        <v>6237</v>
      </c>
    </row>
    <row r="14" spans="1:12">
      <c r="A14" t="s">
        <v>183</v>
      </c>
      <c r="B14" s="6">
        <v>46176</v>
      </c>
      <c r="C14" t="s">
        <v>25</v>
      </c>
      <c r="D14" t="s">
        <v>25</v>
      </c>
      <c r="E14" t="s">
        <v>163</v>
      </c>
      <c r="F14" t="s">
        <v>164</v>
      </c>
      <c r="G14" t="s">
        <v>32</v>
      </c>
      <c r="H14" t="s">
        <v>28</v>
      </c>
      <c r="I14" t="s">
        <v>23</v>
      </c>
      <c r="J14">
        <v>22</v>
      </c>
      <c r="K14">
        <v>295</v>
      </c>
      <c r="L14">
        <v>6490</v>
      </c>
    </row>
    <row r="15" spans="1:12">
      <c r="A15" t="s">
        <v>183</v>
      </c>
      <c r="B15" s="6">
        <v>46176</v>
      </c>
      <c r="C15" t="s">
        <v>139</v>
      </c>
      <c r="D15" t="s">
        <v>139</v>
      </c>
      <c r="E15" t="s">
        <v>297</v>
      </c>
      <c r="F15" t="s">
        <v>106</v>
      </c>
      <c r="G15" t="s">
        <v>50</v>
      </c>
      <c r="H15" t="s">
        <v>15</v>
      </c>
      <c r="I15" t="s">
        <v>16</v>
      </c>
      <c r="J15">
        <v>21</v>
      </c>
      <c r="K15">
        <v>744</v>
      </c>
      <c r="L15">
        <v>15624</v>
      </c>
    </row>
    <row r="16" spans="1:12">
      <c r="A16" t="s">
        <v>51</v>
      </c>
      <c r="B16" s="6">
        <v>46176</v>
      </c>
      <c r="C16" t="s">
        <v>108</v>
      </c>
      <c r="D16" t="s">
        <v>44</v>
      </c>
      <c r="E16" t="s">
        <v>224</v>
      </c>
      <c r="F16" t="s">
        <v>106</v>
      </c>
      <c r="G16" t="s">
        <v>41</v>
      </c>
      <c r="H16" t="s">
        <v>33</v>
      </c>
      <c r="I16" t="s">
        <v>23</v>
      </c>
      <c r="J16">
        <v>10</v>
      </c>
      <c r="K16">
        <v>399</v>
      </c>
      <c r="L16">
        <v>3990</v>
      </c>
    </row>
    <row r="17" spans="1:12">
      <c r="A17" t="s">
        <v>183</v>
      </c>
      <c r="B17" s="6">
        <v>46176</v>
      </c>
      <c r="C17" t="s">
        <v>11</v>
      </c>
      <c r="D17" t="s">
        <v>120</v>
      </c>
      <c r="E17" t="s">
        <v>327</v>
      </c>
      <c r="F17" t="s">
        <v>36</v>
      </c>
      <c r="G17" t="s">
        <v>21</v>
      </c>
      <c r="H17" t="s">
        <v>15</v>
      </c>
      <c r="I17" t="s">
        <v>16</v>
      </c>
      <c r="J17">
        <v>1</v>
      </c>
      <c r="K17">
        <v>757</v>
      </c>
      <c r="L17">
        <v>757</v>
      </c>
    </row>
    <row r="18" spans="1:12">
      <c r="A18" t="s">
        <v>69</v>
      </c>
      <c r="B18" s="6">
        <v>46177</v>
      </c>
      <c r="C18" t="s">
        <v>44</v>
      </c>
      <c r="D18" t="s">
        <v>44</v>
      </c>
      <c r="E18" t="s">
        <v>70</v>
      </c>
      <c r="F18" t="s">
        <v>71</v>
      </c>
      <c r="G18" t="s">
        <v>50</v>
      </c>
      <c r="H18" t="s">
        <v>42</v>
      </c>
      <c r="I18" t="s">
        <v>23</v>
      </c>
      <c r="J18">
        <v>10</v>
      </c>
      <c r="K18">
        <v>417</v>
      </c>
      <c r="L18">
        <v>4170</v>
      </c>
    </row>
    <row r="19" spans="1:12">
      <c r="A19" t="s">
        <v>87</v>
      </c>
      <c r="B19" s="6">
        <v>46177</v>
      </c>
      <c r="C19" t="s">
        <v>88</v>
      </c>
      <c r="D19" t="s">
        <v>25</v>
      </c>
      <c r="E19" t="s">
        <v>89</v>
      </c>
      <c r="F19" t="s">
        <v>90</v>
      </c>
      <c r="G19" t="s">
        <v>50</v>
      </c>
      <c r="H19" t="s">
        <v>28</v>
      </c>
      <c r="I19" t="s">
        <v>23</v>
      </c>
      <c r="J19">
        <v>1</v>
      </c>
      <c r="K19">
        <v>288</v>
      </c>
      <c r="L19">
        <v>288</v>
      </c>
    </row>
    <row r="20" spans="1:12">
      <c r="A20" t="s">
        <v>69</v>
      </c>
      <c r="B20" s="6">
        <v>46177</v>
      </c>
      <c r="C20" t="s">
        <v>52</v>
      </c>
      <c r="D20" t="s">
        <v>25</v>
      </c>
      <c r="E20" t="s">
        <v>53</v>
      </c>
      <c r="F20" t="s">
        <v>54</v>
      </c>
      <c r="G20" t="s">
        <v>50</v>
      </c>
      <c r="H20" t="s">
        <v>33</v>
      </c>
      <c r="I20" t="s">
        <v>23</v>
      </c>
      <c r="J20">
        <v>12</v>
      </c>
      <c r="K20">
        <v>406</v>
      </c>
      <c r="L20">
        <v>4872</v>
      </c>
    </row>
    <row r="21" spans="1:12">
      <c r="A21" t="s">
        <v>69</v>
      </c>
      <c r="B21" s="6">
        <v>46177</v>
      </c>
      <c r="C21" t="s">
        <v>110</v>
      </c>
      <c r="D21" t="s">
        <v>95</v>
      </c>
      <c r="E21" t="s">
        <v>195</v>
      </c>
      <c r="F21" t="s">
        <v>196</v>
      </c>
      <c r="G21" t="s">
        <v>21</v>
      </c>
      <c r="H21" t="s">
        <v>22</v>
      </c>
      <c r="I21" t="s">
        <v>23</v>
      </c>
      <c r="J21">
        <v>25</v>
      </c>
      <c r="K21">
        <v>422</v>
      </c>
      <c r="L21">
        <v>10550</v>
      </c>
    </row>
    <row r="22" spans="1:12">
      <c r="A22" t="s">
        <v>69</v>
      </c>
      <c r="B22" s="6">
        <v>46177</v>
      </c>
      <c r="C22" t="s">
        <v>95</v>
      </c>
      <c r="D22" t="s">
        <v>95</v>
      </c>
      <c r="E22" t="s">
        <v>96</v>
      </c>
      <c r="F22" t="s">
        <v>97</v>
      </c>
      <c r="G22" t="s">
        <v>21</v>
      </c>
      <c r="H22" t="s">
        <v>22</v>
      </c>
      <c r="I22" t="s">
        <v>23</v>
      </c>
      <c r="J22">
        <v>2</v>
      </c>
      <c r="K22">
        <v>402</v>
      </c>
      <c r="L22">
        <v>804</v>
      </c>
    </row>
    <row r="23" spans="1:12">
      <c r="A23" t="s">
        <v>313</v>
      </c>
      <c r="B23" s="6">
        <v>46177</v>
      </c>
      <c r="C23" t="s">
        <v>73</v>
      </c>
      <c r="D23" t="s">
        <v>44</v>
      </c>
      <c r="E23" t="s">
        <v>210</v>
      </c>
      <c r="F23" t="s">
        <v>131</v>
      </c>
      <c r="G23" t="s">
        <v>32</v>
      </c>
      <c r="H23" t="s">
        <v>33</v>
      </c>
      <c r="I23" t="s">
        <v>23</v>
      </c>
      <c r="J23">
        <v>8</v>
      </c>
      <c r="K23">
        <v>380</v>
      </c>
      <c r="L23">
        <v>3040</v>
      </c>
    </row>
    <row r="24" spans="1:12">
      <c r="A24" t="s">
        <v>78</v>
      </c>
      <c r="B24" s="6">
        <v>46178</v>
      </c>
      <c r="C24" t="s">
        <v>44</v>
      </c>
      <c r="D24" t="s">
        <v>44</v>
      </c>
      <c r="E24" t="s">
        <v>79</v>
      </c>
      <c r="F24" t="s">
        <v>80</v>
      </c>
      <c r="G24" t="s">
        <v>32</v>
      </c>
      <c r="H24" t="s">
        <v>58</v>
      </c>
      <c r="I24" t="s">
        <v>23</v>
      </c>
      <c r="J24">
        <v>16</v>
      </c>
      <c r="K24">
        <v>451</v>
      </c>
      <c r="L24">
        <v>7216</v>
      </c>
    </row>
    <row r="25" spans="1:12">
      <c r="A25" t="s">
        <v>206</v>
      </c>
      <c r="B25" s="6">
        <v>46178</v>
      </c>
      <c r="C25" t="s">
        <v>139</v>
      </c>
      <c r="D25" t="s">
        <v>139</v>
      </c>
      <c r="E25" t="s">
        <v>207</v>
      </c>
      <c r="F25" t="s">
        <v>196</v>
      </c>
      <c r="G25" t="s">
        <v>50</v>
      </c>
      <c r="H25" t="s">
        <v>33</v>
      </c>
      <c r="I25" t="s">
        <v>23</v>
      </c>
      <c r="J25">
        <v>17</v>
      </c>
      <c r="K25">
        <v>401</v>
      </c>
      <c r="L25">
        <v>6817</v>
      </c>
    </row>
    <row r="26" spans="1:12">
      <c r="A26" t="s">
        <v>206</v>
      </c>
      <c r="B26" s="6">
        <v>46178</v>
      </c>
      <c r="C26" t="s">
        <v>88</v>
      </c>
      <c r="D26" t="s">
        <v>25</v>
      </c>
      <c r="E26" t="s">
        <v>212</v>
      </c>
      <c r="F26" t="s">
        <v>20</v>
      </c>
      <c r="G26" t="s">
        <v>21</v>
      </c>
      <c r="H26" t="s">
        <v>15</v>
      </c>
      <c r="I26" t="s">
        <v>16</v>
      </c>
      <c r="J26">
        <v>5</v>
      </c>
      <c r="K26">
        <v>738</v>
      </c>
      <c r="L26">
        <v>3690</v>
      </c>
    </row>
    <row r="27" spans="1:12">
      <c r="A27" t="s">
        <v>227</v>
      </c>
      <c r="B27" s="6">
        <v>46178</v>
      </c>
      <c r="C27" t="s">
        <v>88</v>
      </c>
      <c r="D27" t="s">
        <v>25</v>
      </c>
      <c r="E27" t="s">
        <v>53</v>
      </c>
      <c r="F27" t="s">
        <v>54</v>
      </c>
      <c r="G27" t="s">
        <v>50</v>
      </c>
      <c r="H27" t="s">
        <v>22</v>
      </c>
      <c r="I27" t="s">
        <v>23</v>
      </c>
      <c r="J27">
        <v>6</v>
      </c>
      <c r="K27">
        <v>425</v>
      </c>
      <c r="L27">
        <v>2550</v>
      </c>
    </row>
    <row r="28" spans="1:12">
      <c r="A28" t="s">
        <v>78</v>
      </c>
      <c r="B28" s="6">
        <v>46178</v>
      </c>
      <c r="C28" t="s">
        <v>52</v>
      </c>
      <c r="D28" t="s">
        <v>25</v>
      </c>
      <c r="E28" t="s">
        <v>214</v>
      </c>
      <c r="F28" t="s">
        <v>77</v>
      </c>
      <c r="G28" t="s">
        <v>21</v>
      </c>
      <c r="H28" t="s">
        <v>22</v>
      </c>
      <c r="I28" t="s">
        <v>23</v>
      </c>
      <c r="J28">
        <v>7</v>
      </c>
      <c r="K28">
        <v>408</v>
      </c>
      <c r="L28">
        <v>2856</v>
      </c>
    </row>
    <row r="29" spans="1:12">
      <c r="A29" t="s">
        <v>78</v>
      </c>
      <c r="B29" s="6">
        <v>46178</v>
      </c>
      <c r="C29" t="s">
        <v>44</v>
      </c>
      <c r="D29" t="s">
        <v>44</v>
      </c>
      <c r="E29" t="s">
        <v>299</v>
      </c>
      <c r="F29" t="s">
        <v>300</v>
      </c>
      <c r="G29" t="s">
        <v>50</v>
      </c>
      <c r="H29" t="s">
        <v>58</v>
      </c>
      <c r="I29" t="s">
        <v>23</v>
      </c>
      <c r="J29">
        <v>4</v>
      </c>
      <c r="K29">
        <v>478</v>
      </c>
      <c r="L29">
        <v>1912</v>
      </c>
    </row>
    <row r="30" spans="1:12">
      <c r="A30" t="s">
        <v>206</v>
      </c>
      <c r="B30" s="6">
        <v>46178</v>
      </c>
      <c r="C30" t="s">
        <v>88</v>
      </c>
      <c r="D30" t="s">
        <v>25</v>
      </c>
      <c r="E30" t="s">
        <v>281</v>
      </c>
      <c r="F30" t="s">
        <v>131</v>
      </c>
      <c r="G30" t="s">
        <v>32</v>
      </c>
      <c r="H30" t="s">
        <v>15</v>
      </c>
      <c r="I30" t="s">
        <v>16</v>
      </c>
      <c r="J30">
        <v>14</v>
      </c>
      <c r="K30">
        <v>747</v>
      </c>
      <c r="L30">
        <v>10458</v>
      </c>
    </row>
    <row r="31" spans="1:12">
      <c r="A31" t="s">
        <v>206</v>
      </c>
      <c r="B31" s="6">
        <v>46178</v>
      </c>
      <c r="C31" t="s">
        <v>88</v>
      </c>
      <c r="D31" t="s">
        <v>25</v>
      </c>
      <c r="E31" t="s">
        <v>281</v>
      </c>
      <c r="F31" t="s">
        <v>131</v>
      </c>
      <c r="G31" t="s">
        <v>32</v>
      </c>
      <c r="H31" t="s">
        <v>15</v>
      </c>
      <c r="I31" t="s">
        <v>16</v>
      </c>
      <c r="J31">
        <v>14</v>
      </c>
      <c r="K31">
        <v>747</v>
      </c>
      <c r="L31">
        <v>10458</v>
      </c>
    </row>
    <row r="32" spans="1:12">
      <c r="A32" t="s">
        <v>246</v>
      </c>
      <c r="B32" s="6">
        <v>46179</v>
      </c>
      <c r="C32" t="s">
        <v>38</v>
      </c>
      <c r="D32" t="s">
        <v>139</v>
      </c>
      <c r="E32" t="s">
        <v>247</v>
      </c>
      <c r="F32" t="s">
        <v>106</v>
      </c>
      <c r="G32" t="s">
        <v>41</v>
      </c>
      <c r="H32" t="s">
        <v>33</v>
      </c>
      <c r="I32" t="s">
        <v>23</v>
      </c>
      <c r="J32">
        <v>10</v>
      </c>
      <c r="K32">
        <v>381</v>
      </c>
      <c r="L32">
        <v>3810</v>
      </c>
    </row>
    <row r="33" spans="1:12">
      <c r="A33" t="s">
        <v>265</v>
      </c>
      <c r="B33" s="6">
        <v>46179</v>
      </c>
      <c r="C33" t="s">
        <v>139</v>
      </c>
      <c r="D33" t="s">
        <v>139</v>
      </c>
      <c r="E33" t="s">
        <v>207</v>
      </c>
      <c r="F33" t="s">
        <v>196</v>
      </c>
      <c r="G33" t="s">
        <v>50</v>
      </c>
      <c r="H33" t="s">
        <v>58</v>
      </c>
      <c r="I33" t="s">
        <v>23</v>
      </c>
      <c r="J33">
        <v>20</v>
      </c>
      <c r="K33">
        <v>469</v>
      </c>
      <c r="L33">
        <v>9380</v>
      </c>
    </row>
    <row r="34" spans="1:12">
      <c r="A34" t="s">
        <v>310</v>
      </c>
      <c r="B34" s="6">
        <v>46179</v>
      </c>
      <c r="C34" t="s">
        <v>52</v>
      </c>
      <c r="D34" t="s">
        <v>25</v>
      </c>
      <c r="E34" t="s">
        <v>181</v>
      </c>
      <c r="F34" t="s">
        <v>131</v>
      </c>
      <c r="G34" t="s">
        <v>41</v>
      </c>
      <c r="H34" t="s">
        <v>28</v>
      </c>
      <c r="I34" t="s">
        <v>23</v>
      </c>
      <c r="J34">
        <v>7</v>
      </c>
      <c r="K34">
        <v>278</v>
      </c>
      <c r="L34">
        <v>1946</v>
      </c>
    </row>
    <row r="35" spans="1:12">
      <c r="A35" t="s">
        <v>37</v>
      </c>
      <c r="B35" s="6">
        <v>46180</v>
      </c>
      <c r="C35" t="s">
        <v>38</v>
      </c>
      <c r="D35" t="s">
        <v>139</v>
      </c>
      <c r="E35" t="s">
        <v>39</v>
      </c>
      <c r="F35" t="s">
        <v>40</v>
      </c>
      <c r="G35" t="s">
        <v>41</v>
      </c>
      <c r="H35" t="s">
        <v>42</v>
      </c>
      <c r="I35" t="s">
        <v>23</v>
      </c>
      <c r="J35">
        <v>12</v>
      </c>
      <c r="K35">
        <v>425</v>
      </c>
      <c r="L35">
        <v>5100</v>
      </c>
    </row>
    <row r="36" spans="1:12">
      <c r="A36" t="s">
        <v>171</v>
      </c>
      <c r="B36" s="6">
        <v>46180</v>
      </c>
      <c r="C36" t="s">
        <v>120</v>
      </c>
      <c r="D36" t="s">
        <v>120</v>
      </c>
      <c r="E36" t="s">
        <v>172</v>
      </c>
      <c r="F36" t="s">
        <v>40</v>
      </c>
      <c r="G36" t="s">
        <v>21</v>
      </c>
      <c r="H36" t="s">
        <v>22</v>
      </c>
      <c r="I36" t="s">
        <v>23</v>
      </c>
      <c r="J36">
        <v>4</v>
      </c>
      <c r="K36">
        <v>425</v>
      </c>
      <c r="L36">
        <v>1700</v>
      </c>
    </row>
    <row r="37" spans="1:12">
      <c r="A37" t="s">
        <v>171</v>
      </c>
      <c r="B37" s="6">
        <v>46180</v>
      </c>
      <c r="C37" t="s">
        <v>38</v>
      </c>
      <c r="D37" t="s">
        <v>139</v>
      </c>
      <c r="E37" t="s">
        <v>39</v>
      </c>
      <c r="F37" t="s">
        <v>40</v>
      </c>
      <c r="G37" t="s">
        <v>41</v>
      </c>
      <c r="H37" t="s">
        <v>42</v>
      </c>
      <c r="I37" t="s">
        <v>23</v>
      </c>
      <c r="J37">
        <v>18</v>
      </c>
      <c r="K37">
        <v>419</v>
      </c>
      <c r="L37">
        <v>7542</v>
      </c>
    </row>
    <row r="38" spans="1:12">
      <c r="A38" t="s">
        <v>37</v>
      </c>
      <c r="B38" s="6">
        <v>46180</v>
      </c>
      <c r="C38" t="s">
        <v>108</v>
      </c>
      <c r="D38" t="s">
        <v>44</v>
      </c>
      <c r="E38" t="s">
        <v>224</v>
      </c>
      <c r="F38" t="s">
        <v>106</v>
      </c>
      <c r="G38" t="s">
        <v>41</v>
      </c>
      <c r="H38" t="s">
        <v>15</v>
      </c>
      <c r="I38" t="s">
        <v>16</v>
      </c>
      <c r="J38">
        <v>3</v>
      </c>
      <c r="K38">
        <v>742</v>
      </c>
      <c r="L38">
        <v>2226</v>
      </c>
    </row>
    <row r="39" spans="1:12">
      <c r="A39" t="s">
        <v>37</v>
      </c>
      <c r="B39" s="6">
        <v>46180</v>
      </c>
      <c r="C39" t="s">
        <v>88</v>
      </c>
      <c r="D39" t="s">
        <v>25</v>
      </c>
      <c r="E39" t="s">
        <v>163</v>
      </c>
      <c r="F39" t="s">
        <v>164</v>
      </c>
      <c r="G39" t="s">
        <v>32</v>
      </c>
      <c r="H39" t="s">
        <v>22</v>
      </c>
      <c r="I39" t="s">
        <v>23</v>
      </c>
      <c r="J39">
        <v>16</v>
      </c>
      <c r="K39">
        <v>425</v>
      </c>
      <c r="L39">
        <v>6800</v>
      </c>
    </row>
    <row r="40" spans="1:12">
      <c r="A40" t="s">
        <v>309</v>
      </c>
      <c r="B40" s="6">
        <v>46180</v>
      </c>
      <c r="C40" t="s">
        <v>88</v>
      </c>
      <c r="D40" t="s">
        <v>25</v>
      </c>
      <c r="E40" t="s">
        <v>181</v>
      </c>
      <c r="F40" t="s">
        <v>131</v>
      </c>
      <c r="G40" t="s">
        <v>41</v>
      </c>
      <c r="H40" t="s">
        <v>15</v>
      </c>
      <c r="I40" t="s">
        <v>16</v>
      </c>
      <c r="J40">
        <v>8</v>
      </c>
      <c r="K40">
        <v>750</v>
      </c>
      <c r="L40">
        <v>6000</v>
      </c>
    </row>
    <row r="41" spans="1:12">
      <c r="A41" t="s">
        <v>171</v>
      </c>
      <c r="B41" s="6">
        <v>46180</v>
      </c>
      <c r="C41" t="s">
        <v>44</v>
      </c>
      <c r="D41" t="s">
        <v>44</v>
      </c>
      <c r="E41" t="s">
        <v>186</v>
      </c>
      <c r="F41" t="s">
        <v>36</v>
      </c>
      <c r="G41" t="s">
        <v>21</v>
      </c>
      <c r="H41" t="s">
        <v>58</v>
      </c>
      <c r="I41" t="s">
        <v>23</v>
      </c>
      <c r="J41">
        <v>7</v>
      </c>
      <c r="K41">
        <v>468</v>
      </c>
      <c r="L41">
        <v>3276</v>
      </c>
    </row>
    <row r="42" spans="1:12">
      <c r="A42" t="s">
        <v>199</v>
      </c>
      <c r="B42" s="6">
        <v>46181</v>
      </c>
      <c r="C42" t="s">
        <v>139</v>
      </c>
      <c r="D42" t="s">
        <v>139</v>
      </c>
      <c r="E42" t="s">
        <v>200</v>
      </c>
      <c r="F42" t="s">
        <v>100</v>
      </c>
      <c r="G42" t="s">
        <v>21</v>
      </c>
      <c r="H42" t="s">
        <v>33</v>
      </c>
      <c r="I42" t="s">
        <v>23</v>
      </c>
      <c r="J42">
        <v>18</v>
      </c>
      <c r="K42">
        <v>386</v>
      </c>
      <c r="L42">
        <v>6948</v>
      </c>
    </row>
    <row r="43" spans="1:12">
      <c r="A43" t="s">
        <v>225</v>
      </c>
      <c r="B43" s="6">
        <v>46181</v>
      </c>
      <c r="C43" t="s">
        <v>73</v>
      </c>
      <c r="D43" t="s">
        <v>44</v>
      </c>
      <c r="E43" t="s">
        <v>210</v>
      </c>
      <c r="F43" t="s">
        <v>131</v>
      </c>
      <c r="G43" t="s">
        <v>32</v>
      </c>
      <c r="H43" t="s">
        <v>15</v>
      </c>
      <c r="I43" t="s">
        <v>16</v>
      </c>
      <c r="J43">
        <v>3</v>
      </c>
      <c r="K43">
        <v>736</v>
      </c>
      <c r="L43">
        <v>2208</v>
      </c>
    </row>
    <row r="44" spans="1:12">
      <c r="A44" t="s">
        <v>225</v>
      </c>
      <c r="B44" s="6">
        <v>46181</v>
      </c>
      <c r="C44" t="s">
        <v>120</v>
      </c>
      <c r="D44" t="s">
        <v>120</v>
      </c>
      <c r="E44" t="s">
        <v>258</v>
      </c>
      <c r="F44" t="s">
        <v>100</v>
      </c>
      <c r="G44" t="s">
        <v>41</v>
      </c>
      <c r="H44" t="s">
        <v>42</v>
      </c>
      <c r="I44" t="s">
        <v>23</v>
      </c>
      <c r="J44">
        <v>18</v>
      </c>
      <c r="K44">
        <v>429</v>
      </c>
      <c r="L44">
        <v>7722</v>
      </c>
    </row>
    <row r="45" spans="1:12">
      <c r="A45" t="s">
        <v>314</v>
      </c>
      <c r="B45" s="6">
        <v>46181</v>
      </c>
      <c r="C45" t="s">
        <v>30</v>
      </c>
      <c r="D45" t="s">
        <v>44</v>
      </c>
      <c r="E45" t="s">
        <v>273</v>
      </c>
      <c r="F45" t="s">
        <v>71</v>
      </c>
      <c r="G45" t="s">
        <v>41</v>
      </c>
      <c r="H45" t="s">
        <v>15</v>
      </c>
      <c r="I45" t="s">
        <v>16</v>
      </c>
      <c r="J45">
        <v>20</v>
      </c>
      <c r="K45">
        <v>737</v>
      </c>
      <c r="L45">
        <v>14740</v>
      </c>
    </row>
    <row r="46" spans="1:12">
      <c r="A46" t="s">
        <v>314</v>
      </c>
      <c r="B46" s="6">
        <v>46181</v>
      </c>
      <c r="C46" t="s">
        <v>25</v>
      </c>
      <c r="D46" t="s">
        <v>25</v>
      </c>
      <c r="E46" t="s">
        <v>26</v>
      </c>
      <c r="F46" t="s">
        <v>27</v>
      </c>
      <c r="G46" t="s">
        <v>14</v>
      </c>
      <c r="H46" t="s">
        <v>28</v>
      </c>
      <c r="I46" t="s">
        <v>23</v>
      </c>
      <c r="J46">
        <v>3</v>
      </c>
      <c r="K46">
        <v>290</v>
      </c>
      <c r="L46">
        <v>870</v>
      </c>
    </row>
    <row r="47" spans="1:12">
      <c r="A47" t="s">
        <v>199</v>
      </c>
      <c r="B47" s="6">
        <v>46181</v>
      </c>
      <c r="C47" t="s">
        <v>120</v>
      </c>
      <c r="D47" t="s">
        <v>120</v>
      </c>
      <c r="E47" t="s">
        <v>278</v>
      </c>
      <c r="F47" t="s">
        <v>242</v>
      </c>
      <c r="G47" t="s">
        <v>32</v>
      </c>
      <c r="H47" t="s">
        <v>28</v>
      </c>
      <c r="I47" t="s">
        <v>23</v>
      </c>
      <c r="J47">
        <v>6</v>
      </c>
      <c r="K47">
        <v>292</v>
      </c>
      <c r="L47">
        <v>1752</v>
      </c>
    </row>
    <row r="48" spans="1:12">
      <c r="A48" t="s">
        <v>199</v>
      </c>
      <c r="B48" s="6">
        <v>46181</v>
      </c>
      <c r="C48" t="s">
        <v>52</v>
      </c>
      <c r="D48" t="s">
        <v>25</v>
      </c>
      <c r="E48" t="s">
        <v>169</v>
      </c>
      <c r="F48" t="s">
        <v>71</v>
      </c>
      <c r="G48" t="s">
        <v>32</v>
      </c>
      <c r="H48" t="s">
        <v>33</v>
      </c>
      <c r="I48" t="s">
        <v>23</v>
      </c>
      <c r="J48">
        <v>14</v>
      </c>
      <c r="K48">
        <v>392</v>
      </c>
      <c r="L48">
        <v>5488</v>
      </c>
    </row>
    <row r="49" spans="1:12">
      <c r="A49" t="s">
        <v>59</v>
      </c>
      <c r="B49" s="6">
        <v>46182</v>
      </c>
      <c r="C49" t="s">
        <v>44</v>
      </c>
      <c r="D49" t="s">
        <v>44</v>
      </c>
      <c r="E49" t="s">
        <v>60</v>
      </c>
      <c r="F49" t="s">
        <v>49</v>
      </c>
      <c r="G49" t="s">
        <v>32</v>
      </c>
      <c r="H49" t="s">
        <v>28</v>
      </c>
      <c r="I49" t="s">
        <v>23</v>
      </c>
      <c r="J49">
        <v>7</v>
      </c>
      <c r="K49">
        <v>280</v>
      </c>
      <c r="L49">
        <v>1960</v>
      </c>
    </row>
    <row r="50" spans="1:12">
      <c r="A50" t="s">
        <v>256</v>
      </c>
      <c r="B50" s="6">
        <v>46182</v>
      </c>
      <c r="C50" t="s">
        <v>30</v>
      </c>
      <c r="D50" t="s">
        <v>44</v>
      </c>
      <c r="E50" t="s">
        <v>174</v>
      </c>
      <c r="F50" t="s">
        <v>46</v>
      </c>
      <c r="G50" t="s">
        <v>21</v>
      </c>
      <c r="H50" t="s">
        <v>58</v>
      </c>
      <c r="I50" t="s">
        <v>23</v>
      </c>
      <c r="J50">
        <v>5</v>
      </c>
      <c r="K50">
        <v>459</v>
      </c>
      <c r="L50">
        <v>2295</v>
      </c>
    </row>
    <row r="51" spans="1:12">
      <c r="A51" t="s">
        <v>59</v>
      </c>
      <c r="B51" s="6">
        <v>46182</v>
      </c>
      <c r="C51" t="s">
        <v>110</v>
      </c>
      <c r="D51" t="s">
        <v>95</v>
      </c>
      <c r="E51" t="s">
        <v>251</v>
      </c>
      <c r="F51" t="s">
        <v>137</v>
      </c>
      <c r="G51" t="s">
        <v>50</v>
      </c>
      <c r="H51" t="s">
        <v>33</v>
      </c>
      <c r="I51" t="s">
        <v>23</v>
      </c>
      <c r="J51">
        <v>3</v>
      </c>
      <c r="K51">
        <v>406</v>
      </c>
      <c r="L51">
        <v>1218</v>
      </c>
    </row>
    <row r="52" spans="1:12">
      <c r="A52" t="s">
        <v>291</v>
      </c>
      <c r="B52" s="6">
        <v>46182</v>
      </c>
      <c r="C52" t="s">
        <v>73</v>
      </c>
      <c r="D52" t="s">
        <v>44</v>
      </c>
      <c r="E52" t="s">
        <v>74</v>
      </c>
      <c r="F52" t="s">
        <v>36</v>
      </c>
      <c r="G52" t="s">
        <v>41</v>
      </c>
      <c r="H52" t="s">
        <v>22</v>
      </c>
      <c r="I52" t="s">
        <v>23</v>
      </c>
      <c r="J52">
        <v>22</v>
      </c>
      <c r="K52">
        <v>414</v>
      </c>
      <c r="L52">
        <v>9108</v>
      </c>
    </row>
    <row r="53" spans="1:12">
      <c r="A53" t="s">
        <v>256</v>
      </c>
      <c r="B53" s="6">
        <v>46182</v>
      </c>
      <c r="C53" t="s">
        <v>38</v>
      </c>
      <c r="D53" t="s">
        <v>139</v>
      </c>
      <c r="E53" t="s">
        <v>200</v>
      </c>
      <c r="F53" t="s">
        <v>100</v>
      </c>
      <c r="G53" t="s">
        <v>21</v>
      </c>
      <c r="H53" t="s">
        <v>42</v>
      </c>
      <c r="I53" t="s">
        <v>23</v>
      </c>
      <c r="J53">
        <v>11</v>
      </c>
      <c r="K53">
        <v>426</v>
      </c>
      <c r="L53">
        <v>4686</v>
      </c>
    </row>
    <row r="54" spans="1:12">
      <c r="A54" t="s">
        <v>230</v>
      </c>
      <c r="B54" s="6">
        <v>46183</v>
      </c>
      <c r="C54" t="s">
        <v>38</v>
      </c>
      <c r="D54" t="s">
        <v>139</v>
      </c>
      <c r="E54" t="s">
        <v>127</v>
      </c>
      <c r="F54" t="s">
        <v>128</v>
      </c>
      <c r="G54" t="s">
        <v>41</v>
      </c>
      <c r="H54" t="s">
        <v>15</v>
      </c>
      <c r="I54" t="s">
        <v>16</v>
      </c>
      <c r="J54">
        <v>14</v>
      </c>
      <c r="K54">
        <v>749</v>
      </c>
      <c r="L54">
        <v>10486</v>
      </c>
    </row>
    <row r="55" spans="1:12">
      <c r="A55" t="s">
        <v>230</v>
      </c>
      <c r="B55" s="6">
        <v>46183</v>
      </c>
      <c r="C55" t="s">
        <v>38</v>
      </c>
      <c r="D55" t="s">
        <v>139</v>
      </c>
      <c r="E55" t="s">
        <v>200</v>
      </c>
      <c r="F55" t="s">
        <v>100</v>
      </c>
      <c r="G55" t="s">
        <v>21</v>
      </c>
      <c r="H55" t="s">
        <v>42</v>
      </c>
      <c r="I55" t="s">
        <v>23</v>
      </c>
      <c r="J55">
        <v>10</v>
      </c>
      <c r="K55">
        <v>428</v>
      </c>
      <c r="L55">
        <v>4280</v>
      </c>
    </row>
    <row r="56" spans="1:12">
      <c r="A56" t="s">
        <v>230</v>
      </c>
      <c r="B56" s="6">
        <v>46183</v>
      </c>
      <c r="C56" t="s">
        <v>38</v>
      </c>
      <c r="D56" t="s">
        <v>139</v>
      </c>
      <c r="E56" t="s">
        <v>127</v>
      </c>
      <c r="F56" t="s">
        <v>128</v>
      </c>
      <c r="G56" t="s">
        <v>41</v>
      </c>
      <c r="H56" t="s">
        <v>15</v>
      </c>
      <c r="I56" t="s">
        <v>16</v>
      </c>
      <c r="K56">
        <v>761</v>
      </c>
    </row>
    <row r="57" spans="1:12">
      <c r="A57" t="s">
        <v>230</v>
      </c>
      <c r="B57" s="6">
        <v>46183</v>
      </c>
      <c r="C57" t="s">
        <v>38</v>
      </c>
      <c r="D57" t="s">
        <v>139</v>
      </c>
      <c r="E57" t="s">
        <v>200</v>
      </c>
      <c r="F57" t="s">
        <v>100</v>
      </c>
      <c r="G57" t="s">
        <v>21</v>
      </c>
      <c r="H57" t="s">
        <v>22</v>
      </c>
      <c r="I57" t="s">
        <v>23</v>
      </c>
      <c r="J57">
        <v>23</v>
      </c>
      <c r="K57">
        <v>421</v>
      </c>
      <c r="L57">
        <v>9683</v>
      </c>
    </row>
    <row r="58" spans="1:12">
      <c r="A58" t="s">
        <v>280</v>
      </c>
      <c r="B58" s="6">
        <v>46183</v>
      </c>
      <c r="C58" t="s">
        <v>88</v>
      </c>
      <c r="D58" t="s">
        <v>25</v>
      </c>
      <c r="E58" t="s">
        <v>281</v>
      </c>
      <c r="F58" t="s">
        <v>131</v>
      </c>
      <c r="G58" t="s">
        <v>32</v>
      </c>
      <c r="H58" t="s">
        <v>42</v>
      </c>
      <c r="I58" t="s">
        <v>23</v>
      </c>
      <c r="J58">
        <v>7</v>
      </c>
      <c r="K58">
        <v>428</v>
      </c>
      <c r="L58">
        <v>2996</v>
      </c>
    </row>
    <row r="59" spans="1:12">
      <c r="A59" t="s">
        <v>280</v>
      </c>
      <c r="B59" s="6">
        <v>46183</v>
      </c>
      <c r="C59" t="s">
        <v>108</v>
      </c>
      <c r="D59" t="s">
        <v>44</v>
      </c>
      <c r="E59" t="s">
        <v>151</v>
      </c>
      <c r="F59" t="s">
        <v>152</v>
      </c>
      <c r="G59" t="s">
        <v>50</v>
      </c>
      <c r="H59" t="s">
        <v>42</v>
      </c>
      <c r="I59" t="s">
        <v>23</v>
      </c>
      <c r="J59">
        <v>6</v>
      </c>
      <c r="K59">
        <v>440</v>
      </c>
      <c r="L59">
        <v>2640</v>
      </c>
    </row>
    <row r="60" spans="1:12">
      <c r="A60" t="s">
        <v>192</v>
      </c>
      <c r="B60" s="6">
        <v>46184</v>
      </c>
      <c r="C60" t="s">
        <v>38</v>
      </c>
      <c r="D60" t="s">
        <v>139</v>
      </c>
      <c r="E60" t="s">
        <v>62</v>
      </c>
      <c r="F60" t="s">
        <v>63</v>
      </c>
      <c r="G60" t="s">
        <v>14</v>
      </c>
      <c r="H60" t="s">
        <v>28</v>
      </c>
      <c r="I60" t="s">
        <v>23</v>
      </c>
      <c r="J60">
        <v>25</v>
      </c>
      <c r="K60">
        <v>284</v>
      </c>
      <c r="L60">
        <v>7100</v>
      </c>
    </row>
    <row r="61" spans="1:12">
      <c r="A61" t="s">
        <v>231</v>
      </c>
      <c r="B61" s="6">
        <v>46184</v>
      </c>
      <c r="C61" t="s">
        <v>108</v>
      </c>
      <c r="D61" t="s">
        <v>44</v>
      </c>
      <c r="E61" t="s">
        <v>74</v>
      </c>
      <c r="F61" t="s">
        <v>36</v>
      </c>
      <c r="G61" t="s">
        <v>41</v>
      </c>
      <c r="H61" t="s">
        <v>22</v>
      </c>
      <c r="I61" t="s">
        <v>23</v>
      </c>
      <c r="J61">
        <v>8</v>
      </c>
      <c r="K61">
        <v>420</v>
      </c>
      <c r="L61">
        <v>3360</v>
      </c>
    </row>
    <row r="62" spans="1:12">
      <c r="A62" t="s">
        <v>192</v>
      </c>
      <c r="B62" s="6">
        <v>46184</v>
      </c>
      <c r="C62" t="s">
        <v>38</v>
      </c>
      <c r="D62" t="s">
        <v>139</v>
      </c>
      <c r="E62" t="s">
        <v>62</v>
      </c>
      <c r="F62" t="s">
        <v>63</v>
      </c>
      <c r="G62" t="s">
        <v>14</v>
      </c>
      <c r="H62" t="s">
        <v>42</v>
      </c>
      <c r="I62" t="s">
        <v>23</v>
      </c>
      <c r="J62">
        <v>16</v>
      </c>
      <c r="K62">
        <v>435</v>
      </c>
      <c r="L62">
        <v>6960</v>
      </c>
    </row>
    <row r="63" spans="1:12">
      <c r="A63" t="s">
        <v>192</v>
      </c>
      <c r="B63" s="6">
        <v>46184</v>
      </c>
      <c r="C63" t="s">
        <v>52</v>
      </c>
      <c r="D63" t="s">
        <v>25</v>
      </c>
      <c r="E63" t="s">
        <v>214</v>
      </c>
      <c r="F63" t="s">
        <v>77</v>
      </c>
      <c r="G63" t="s">
        <v>21</v>
      </c>
      <c r="H63" t="s">
        <v>28</v>
      </c>
      <c r="I63" t="s">
        <v>23</v>
      </c>
      <c r="J63">
        <v>3</v>
      </c>
      <c r="K63">
        <v>277</v>
      </c>
      <c r="L63">
        <v>831</v>
      </c>
    </row>
    <row r="64" spans="1:12">
      <c r="A64" t="s">
        <v>231</v>
      </c>
      <c r="B64" s="6">
        <v>46184</v>
      </c>
      <c r="C64" t="s">
        <v>73</v>
      </c>
      <c r="D64" t="s">
        <v>44</v>
      </c>
      <c r="E64" t="s">
        <v>186</v>
      </c>
      <c r="F64" t="s">
        <v>36</v>
      </c>
      <c r="G64" t="s">
        <v>21</v>
      </c>
      <c r="H64" t="s">
        <v>22</v>
      </c>
      <c r="I64" t="s">
        <v>23</v>
      </c>
      <c r="J64">
        <v>2</v>
      </c>
      <c r="K64">
        <v>411</v>
      </c>
      <c r="L64">
        <v>822</v>
      </c>
    </row>
    <row r="65" spans="1:12">
      <c r="A65" t="s">
        <v>129</v>
      </c>
      <c r="B65" s="6">
        <v>46185</v>
      </c>
      <c r="C65" t="s">
        <v>18</v>
      </c>
      <c r="D65" t="s">
        <v>95</v>
      </c>
      <c r="E65" t="s">
        <v>130</v>
      </c>
      <c r="F65" t="s">
        <v>131</v>
      </c>
      <c r="G65" t="s">
        <v>50</v>
      </c>
      <c r="H65" t="s">
        <v>28</v>
      </c>
      <c r="I65" t="s">
        <v>23</v>
      </c>
      <c r="J65">
        <v>17</v>
      </c>
      <c r="K65">
        <v>296</v>
      </c>
      <c r="L65">
        <v>5032</v>
      </c>
    </row>
    <row r="66" spans="1:12">
      <c r="A66" t="s">
        <v>133</v>
      </c>
      <c r="B66" s="6">
        <v>46185</v>
      </c>
      <c r="C66" t="s">
        <v>95</v>
      </c>
      <c r="D66" t="s">
        <v>95</v>
      </c>
      <c r="E66" t="s">
        <v>96</v>
      </c>
      <c r="F66" t="s">
        <v>97</v>
      </c>
      <c r="G66" t="s">
        <v>21</v>
      </c>
      <c r="H66" t="s">
        <v>33</v>
      </c>
      <c r="I66" t="s">
        <v>23</v>
      </c>
      <c r="J66">
        <v>8</v>
      </c>
      <c r="K66">
        <v>401</v>
      </c>
      <c r="L66">
        <v>3208</v>
      </c>
    </row>
    <row r="67" spans="1:12">
      <c r="A67" t="s">
        <v>133</v>
      </c>
      <c r="B67" s="6">
        <v>46185</v>
      </c>
      <c r="C67" t="s">
        <v>52</v>
      </c>
      <c r="D67" t="s">
        <v>25</v>
      </c>
      <c r="E67" t="s">
        <v>169</v>
      </c>
      <c r="F67" t="s">
        <v>71</v>
      </c>
      <c r="G67" t="s">
        <v>32</v>
      </c>
      <c r="H67" t="s">
        <v>42</v>
      </c>
      <c r="I67" t="s">
        <v>23</v>
      </c>
      <c r="J67">
        <v>25</v>
      </c>
      <c r="K67">
        <v>438</v>
      </c>
      <c r="L67">
        <v>10950</v>
      </c>
    </row>
    <row r="68" spans="1:12">
      <c r="A68" t="s">
        <v>173</v>
      </c>
      <c r="B68" s="6">
        <v>46186</v>
      </c>
      <c r="C68" t="s">
        <v>120</v>
      </c>
      <c r="D68" t="s">
        <v>120</v>
      </c>
      <c r="E68" t="s">
        <v>68</v>
      </c>
      <c r="F68" t="s">
        <v>36</v>
      </c>
      <c r="G68" t="s">
        <v>50</v>
      </c>
      <c r="H68" t="s">
        <v>22</v>
      </c>
      <c r="I68" t="s">
        <v>23</v>
      </c>
      <c r="J68">
        <v>17</v>
      </c>
      <c r="K68">
        <v>409</v>
      </c>
      <c r="L68">
        <v>6953</v>
      </c>
    </row>
    <row r="69" spans="1:12">
      <c r="A69" t="s">
        <v>173</v>
      </c>
      <c r="B69" s="6">
        <v>46186</v>
      </c>
      <c r="C69" t="s">
        <v>30</v>
      </c>
      <c r="D69" t="s">
        <v>44</v>
      </c>
      <c r="E69" t="s">
        <v>186</v>
      </c>
      <c r="F69" t="s">
        <v>36</v>
      </c>
      <c r="G69" t="s">
        <v>21</v>
      </c>
      <c r="H69" t="s">
        <v>42</v>
      </c>
      <c r="I69" t="s">
        <v>23</v>
      </c>
      <c r="J69">
        <v>15</v>
      </c>
      <c r="K69">
        <v>432</v>
      </c>
      <c r="L69">
        <v>6480</v>
      </c>
    </row>
    <row r="70" spans="1:12">
      <c r="A70" t="s">
        <v>173</v>
      </c>
      <c r="B70" s="6">
        <v>46186</v>
      </c>
      <c r="C70" t="s">
        <v>38</v>
      </c>
      <c r="D70" t="s">
        <v>139</v>
      </c>
      <c r="E70" t="s">
        <v>127</v>
      </c>
      <c r="F70" t="s">
        <v>128</v>
      </c>
      <c r="G70" t="s">
        <v>41</v>
      </c>
      <c r="H70" t="s">
        <v>58</v>
      </c>
      <c r="I70" t="s">
        <v>23</v>
      </c>
      <c r="J70">
        <v>4</v>
      </c>
      <c r="K70">
        <v>468</v>
      </c>
      <c r="L70">
        <v>1872</v>
      </c>
    </row>
    <row r="71" spans="1:12">
      <c r="A71" t="s">
        <v>173</v>
      </c>
      <c r="B71" s="6">
        <v>46186</v>
      </c>
      <c r="C71" t="s">
        <v>11</v>
      </c>
      <c r="D71" t="s">
        <v>120</v>
      </c>
      <c r="E71" t="s">
        <v>258</v>
      </c>
      <c r="F71" t="s">
        <v>100</v>
      </c>
      <c r="G71" t="s">
        <v>41</v>
      </c>
      <c r="H71" t="s">
        <v>15</v>
      </c>
      <c r="I71" t="s">
        <v>16</v>
      </c>
      <c r="J71">
        <v>15</v>
      </c>
      <c r="K71">
        <v>753</v>
      </c>
      <c r="L71">
        <v>11295</v>
      </c>
    </row>
    <row r="72" spans="1:12">
      <c r="A72" t="s">
        <v>293</v>
      </c>
      <c r="B72" s="6">
        <v>46186</v>
      </c>
      <c r="C72" t="s">
        <v>88</v>
      </c>
      <c r="D72" t="s">
        <v>25</v>
      </c>
      <c r="E72" t="s">
        <v>89</v>
      </c>
      <c r="F72" t="s">
        <v>90</v>
      </c>
      <c r="G72" t="s">
        <v>50</v>
      </c>
      <c r="H72" t="s">
        <v>33</v>
      </c>
      <c r="I72" t="s">
        <v>23</v>
      </c>
      <c r="J72">
        <v>7</v>
      </c>
      <c r="K72">
        <v>402</v>
      </c>
      <c r="L72">
        <v>2814</v>
      </c>
    </row>
    <row r="73" spans="1:12">
      <c r="A73" t="s">
        <v>222</v>
      </c>
      <c r="B73" s="6">
        <v>46187</v>
      </c>
      <c r="C73" t="s">
        <v>139</v>
      </c>
      <c r="D73" t="s">
        <v>139</v>
      </c>
      <c r="E73" t="s">
        <v>223</v>
      </c>
      <c r="F73" t="s">
        <v>66</v>
      </c>
      <c r="G73" t="s">
        <v>14</v>
      </c>
      <c r="H73" t="s">
        <v>15</v>
      </c>
      <c r="I73" t="s">
        <v>16</v>
      </c>
      <c r="J73">
        <v>8</v>
      </c>
      <c r="K73">
        <v>764</v>
      </c>
      <c r="L73">
        <v>6112</v>
      </c>
    </row>
    <row r="74" spans="1:12">
      <c r="A74" t="s">
        <v>222</v>
      </c>
      <c r="B74" s="6">
        <v>46187</v>
      </c>
      <c r="C74" t="s">
        <v>110</v>
      </c>
      <c r="D74" t="s">
        <v>95</v>
      </c>
      <c r="E74" t="s">
        <v>294</v>
      </c>
      <c r="F74" t="s">
        <v>71</v>
      </c>
      <c r="G74" t="s">
        <v>14</v>
      </c>
      <c r="H74" t="s">
        <v>28</v>
      </c>
      <c r="I74" t="s">
        <v>23</v>
      </c>
      <c r="J74">
        <v>22</v>
      </c>
      <c r="K74">
        <v>289</v>
      </c>
      <c r="L74">
        <v>6358</v>
      </c>
    </row>
    <row r="75" spans="1:12">
      <c r="A75" t="s">
        <v>222</v>
      </c>
      <c r="B75" s="6">
        <v>46187</v>
      </c>
      <c r="C75" t="s">
        <v>44</v>
      </c>
      <c r="D75" t="s">
        <v>44</v>
      </c>
      <c r="E75" t="s">
        <v>276</v>
      </c>
      <c r="F75" t="s">
        <v>164</v>
      </c>
      <c r="G75" t="s">
        <v>32</v>
      </c>
      <c r="H75" t="s">
        <v>58</v>
      </c>
      <c r="I75" t="s">
        <v>23</v>
      </c>
      <c r="J75">
        <v>9</v>
      </c>
      <c r="K75">
        <v>477</v>
      </c>
      <c r="L75">
        <v>4293</v>
      </c>
    </row>
    <row r="76" spans="1:12">
      <c r="A76" t="s">
        <v>222</v>
      </c>
      <c r="B76" s="6">
        <v>46187</v>
      </c>
      <c r="C76" t="s">
        <v>44</v>
      </c>
      <c r="D76" t="s">
        <v>44</v>
      </c>
      <c r="E76" t="s">
        <v>299</v>
      </c>
      <c r="F76" t="s">
        <v>300</v>
      </c>
      <c r="G76" t="s">
        <v>50</v>
      </c>
      <c r="H76" t="s">
        <v>15</v>
      </c>
      <c r="I76" t="s">
        <v>16</v>
      </c>
      <c r="J76">
        <v>1</v>
      </c>
      <c r="K76">
        <v>742</v>
      </c>
      <c r="L76">
        <v>742</v>
      </c>
    </row>
    <row r="77" spans="1:12">
      <c r="A77" t="s">
        <v>72</v>
      </c>
      <c r="B77" s="6">
        <v>46188</v>
      </c>
      <c r="C77" t="s">
        <v>73</v>
      </c>
      <c r="D77" t="s">
        <v>44</v>
      </c>
      <c r="E77" t="s">
        <v>74</v>
      </c>
      <c r="F77" t="s">
        <v>36</v>
      </c>
      <c r="G77" t="s">
        <v>41</v>
      </c>
      <c r="H77" t="s">
        <v>28</v>
      </c>
      <c r="I77" t="s">
        <v>23</v>
      </c>
      <c r="J77">
        <v>12</v>
      </c>
      <c r="K77">
        <v>281</v>
      </c>
      <c r="L77">
        <v>3372</v>
      </c>
    </row>
    <row r="78" spans="1:12">
      <c r="A78" t="s">
        <v>98</v>
      </c>
      <c r="B78" s="6">
        <v>46188</v>
      </c>
      <c r="C78" t="s">
        <v>88</v>
      </c>
      <c r="D78" t="s">
        <v>25</v>
      </c>
      <c r="E78" t="s">
        <v>99</v>
      </c>
      <c r="F78" t="s">
        <v>100</v>
      </c>
      <c r="G78" t="s">
        <v>14</v>
      </c>
      <c r="H78" t="s">
        <v>42</v>
      </c>
      <c r="I78" t="s">
        <v>23</v>
      </c>
      <c r="J78">
        <v>15</v>
      </c>
      <c r="K78">
        <v>427</v>
      </c>
      <c r="L78">
        <v>6405</v>
      </c>
    </row>
    <row r="79" spans="1:12">
      <c r="A79" t="s">
        <v>213</v>
      </c>
      <c r="B79" s="6">
        <v>46188</v>
      </c>
      <c r="C79" t="s">
        <v>52</v>
      </c>
      <c r="D79" t="s">
        <v>25</v>
      </c>
      <c r="E79" t="s">
        <v>214</v>
      </c>
      <c r="F79" t="s">
        <v>77</v>
      </c>
      <c r="G79" t="s">
        <v>21</v>
      </c>
      <c r="H79" t="s">
        <v>15</v>
      </c>
      <c r="I79" t="s">
        <v>16</v>
      </c>
      <c r="J79">
        <v>2</v>
      </c>
      <c r="K79">
        <v>748</v>
      </c>
      <c r="L79">
        <v>1496</v>
      </c>
    </row>
    <row r="80" spans="1:12">
      <c r="A80" t="s">
        <v>98</v>
      </c>
      <c r="B80" s="6">
        <v>46188</v>
      </c>
      <c r="C80" t="s">
        <v>108</v>
      </c>
      <c r="D80" t="s">
        <v>44</v>
      </c>
      <c r="E80" t="s">
        <v>282</v>
      </c>
      <c r="F80" t="s">
        <v>131</v>
      </c>
      <c r="G80" t="s">
        <v>41</v>
      </c>
      <c r="H80" t="s">
        <v>22</v>
      </c>
      <c r="I80" t="s">
        <v>23</v>
      </c>
      <c r="J80">
        <v>9</v>
      </c>
      <c r="K80">
        <v>418</v>
      </c>
      <c r="L80">
        <v>3762</v>
      </c>
    </row>
    <row r="81" spans="1:12">
      <c r="A81" t="s">
        <v>72</v>
      </c>
      <c r="B81" s="6">
        <v>46188</v>
      </c>
      <c r="C81" t="s">
        <v>95</v>
      </c>
      <c r="D81" t="s">
        <v>95</v>
      </c>
      <c r="E81" t="s">
        <v>251</v>
      </c>
      <c r="F81" t="s">
        <v>137</v>
      </c>
      <c r="G81" t="s">
        <v>50</v>
      </c>
      <c r="H81" t="s">
        <v>22</v>
      </c>
      <c r="I81" t="s">
        <v>23</v>
      </c>
      <c r="J81">
        <v>23</v>
      </c>
      <c r="K81">
        <v>395</v>
      </c>
      <c r="L81">
        <v>9085</v>
      </c>
    </row>
    <row r="82" spans="1:12">
      <c r="A82" t="s">
        <v>236</v>
      </c>
      <c r="B82" s="6">
        <v>46189</v>
      </c>
      <c r="C82" t="s">
        <v>30</v>
      </c>
      <c r="D82" t="s">
        <v>44</v>
      </c>
      <c r="E82" t="s">
        <v>210</v>
      </c>
      <c r="F82" t="s">
        <v>131</v>
      </c>
      <c r="G82" t="s">
        <v>32</v>
      </c>
      <c r="H82" t="s">
        <v>22</v>
      </c>
      <c r="I82" t="s">
        <v>23</v>
      </c>
      <c r="J82">
        <v>18</v>
      </c>
      <c r="K82">
        <v>424</v>
      </c>
      <c r="L82">
        <v>7632</v>
      </c>
    </row>
    <row r="83" spans="1:12">
      <c r="A83" t="s">
        <v>236</v>
      </c>
      <c r="B83" s="6">
        <v>46189</v>
      </c>
      <c r="C83" t="s">
        <v>30</v>
      </c>
      <c r="D83" t="s">
        <v>44</v>
      </c>
      <c r="E83" t="s">
        <v>186</v>
      </c>
      <c r="F83" t="s">
        <v>36</v>
      </c>
      <c r="G83" t="s">
        <v>21</v>
      </c>
      <c r="H83" t="s">
        <v>33</v>
      </c>
      <c r="I83" t="s">
        <v>23</v>
      </c>
      <c r="J83">
        <v>13</v>
      </c>
      <c r="K83">
        <v>385</v>
      </c>
      <c r="L83">
        <v>5005</v>
      </c>
    </row>
    <row r="84" spans="1:12">
      <c r="A84" t="s">
        <v>319</v>
      </c>
      <c r="B84" s="6">
        <v>46189</v>
      </c>
      <c r="C84" t="s">
        <v>120</v>
      </c>
      <c r="D84" t="s">
        <v>120</v>
      </c>
      <c r="E84" t="s">
        <v>258</v>
      </c>
      <c r="F84" t="s">
        <v>100</v>
      </c>
      <c r="G84" t="s">
        <v>41</v>
      </c>
      <c r="H84" t="s">
        <v>28</v>
      </c>
      <c r="I84" t="s">
        <v>23</v>
      </c>
      <c r="J84">
        <v>15</v>
      </c>
      <c r="K84">
        <v>300</v>
      </c>
      <c r="L84">
        <v>4500</v>
      </c>
    </row>
    <row r="85" spans="1:12">
      <c r="A85" t="s">
        <v>236</v>
      </c>
      <c r="B85" s="6">
        <v>46189</v>
      </c>
      <c r="C85" t="s">
        <v>139</v>
      </c>
      <c r="D85" t="s">
        <v>139</v>
      </c>
      <c r="E85" t="s">
        <v>39</v>
      </c>
      <c r="F85" t="s">
        <v>40</v>
      </c>
      <c r="G85" t="s">
        <v>41</v>
      </c>
      <c r="H85" t="s">
        <v>22</v>
      </c>
      <c r="I85" t="s">
        <v>23</v>
      </c>
      <c r="J85">
        <v>1</v>
      </c>
      <c r="K85">
        <v>414</v>
      </c>
      <c r="L85">
        <v>414</v>
      </c>
    </row>
    <row r="86" spans="1:12">
      <c r="A86" t="s">
        <v>34</v>
      </c>
      <c r="B86" s="6">
        <v>46190</v>
      </c>
      <c r="C86" t="s">
        <v>11</v>
      </c>
      <c r="D86" t="s">
        <v>120</v>
      </c>
      <c r="E86" t="s">
        <v>35</v>
      </c>
      <c r="F86" t="s">
        <v>36</v>
      </c>
      <c r="G86" t="s">
        <v>14</v>
      </c>
      <c r="H86" t="s">
        <v>33</v>
      </c>
      <c r="I86" t="s">
        <v>23</v>
      </c>
      <c r="J86">
        <v>15</v>
      </c>
      <c r="K86">
        <v>385</v>
      </c>
      <c r="L86">
        <v>5775</v>
      </c>
    </row>
    <row r="87" spans="1:12">
      <c r="A87" t="s">
        <v>34</v>
      </c>
      <c r="B87" s="6">
        <v>46190</v>
      </c>
      <c r="C87" t="s">
        <v>73</v>
      </c>
      <c r="D87" t="s">
        <v>44</v>
      </c>
      <c r="E87" t="s">
        <v>151</v>
      </c>
      <c r="F87" t="s">
        <v>152</v>
      </c>
      <c r="G87" t="s">
        <v>50</v>
      </c>
      <c r="H87" t="s">
        <v>22</v>
      </c>
      <c r="I87" t="s">
        <v>23</v>
      </c>
      <c r="J87">
        <v>7</v>
      </c>
      <c r="K87">
        <v>419</v>
      </c>
      <c r="L87">
        <v>2933</v>
      </c>
    </row>
    <row r="88" spans="1:12">
      <c r="A88" t="s">
        <v>64</v>
      </c>
      <c r="B88" s="6">
        <v>46191</v>
      </c>
      <c r="C88" t="s">
        <v>18</v>
      </c>
      <c r="D88" t="s">
        <v>95</v>
      </c>
      <c r="E88" t="s">
        <v>65</v>
      </c>
      <c r="F88" t="s">
        <v>66</v>
      </c>
      <c r="G88" t="s">
        <v>41</v>
      </c>
      <c r="H88" t="s">
        <v>22</v>
      </c>
      <c r="I88" t="s">
        <v>23</v>
      </c>
      <c r="J88">
        <v>9</v>
      </c>
      <c r="K88">
        <v>401</v>
      </c>
      <c r="L88">
        <v>3609</v>
      </c>
    </row>
    <row r="89" spans="1:12">
      <c r="A89" t="s">
        <v>64</v>
      </c>
      <c r="B89" s="6">
        <v>46191</v>
      </c>
      <c r="C89" t="s">
        <v>108</v>
      </c>
      <c r="D89" t="s">
        <v>44</v>
      </c>
      <c r="E89" t="s">
        <v>174</v>
      </c>
      <c r="F89" t="s">
        <v>46</v>
      </c>
      <c r="G89" t="s">
        <v>21</v>
      </c>
      <c r="H89" t="s">
        <v>42</v>
      </c>
      <c r="I89" t="s">
        <v>23</v>
      </c>
      <c r="J89">
        <v>17</v>
      </c>
      <c r="K89">
        <v>439</v>
      </c>
      <c r="L89">
        <v>7463</v>
      </c>
    </row>
    <row r="90" spans="1:12">
      <c r="A90" t="s">
        <v>64</v>
      </c>
      <c r="B90" s="6">
        <v>46191</v>
      </c>
      <c r="C90" t="s">
        <v>110</v>
      </c>
      <c r="D90" t="s">
        <v>95</v>
      </c>
      <c r="E90" t="s">
        <v>251</v>
      </c>
      <c r="F90" t="s">
        <v>137</v>
      </c>
      <c r="G90" t="s">
        <v>50</v>
      </c>
      <c r="H90" t="s">
        <v>15</v>
      </c>
      <c r="I90" t="s">
        <v>16</v>
      </c>
      <c r="J90">
        <v>14</v>
      </c>
      <c r="K90">
        <v>744</v>
      </c>
      <c r="L90">
        <v>10416</v>
      </c>
    </row>
    <row r="91" spans="1:12">
      <c r="A91" t="s">
        <v>170</v>
      </c>
      <c r="B91" s="6">
        <v>46192</v>
      </c>
      <c r="C91" t="s">
        <v>30</v>
      </c>
      <c r="D91" t="s">
        <v>44</v>
      </c>
      <c r="E91" t="s">
        <v>60</v>
      </c>
      <c r="F91" t="s">
        <v>49</v>
      </c>
      <c r="G91" t="s">
        <v>32</v>
      </c>
      <c r="H91" t="s">
        <v>33</v>
      </c>
      <c r="I91" t="s">
        <v>23</v>
      </c>
      <c r="J91">
        <v>1</v>
      </c>
      <c r="K91">
        <v>385</v>
      </c>
      <c r="L91">
        <v>385</v>
      </c>
    </row>
    <row r="92" spans="1:12">
      <c r="A92" t="s">
        <v>170</v>
      </c>
      <c r="B92" s="6">
        <v>46192</v>
      </c>
      <c r="C92" t="s">
        <v>110</v>
      </c>
      <c r="D92" t="s">
        <v>95</v>
      </c>
      <c r="E92" t="s">
        <v>271</v>
      </c>
      <c r="F92" t="s">
        <v>103</v>
      </c>
      <c r="G92" t="s">
        <v>41</v>
      </c>
      <c r="H92" t="s">
        <v>58</v>
      </c>
      <c r="I92" t="s">
        <v>23</v>
      </c>
      <c r="J92">
        <v>2</v>
      </c>
      <c r="K92">
        <v>463</v>
      </c>
      <c r="L92">
        <v>926</v>
      </c>
    </row>
    <row r="93" spans="1:12">
      <c r="A93" t="s">
        <v>277</v>
      </c>
      <c r="B93" s="6">
        <v>46192</v>
      </c>
      <c r="C93" t="s">
        <v>120</v>
      </c>
      <c r="D93" t="s">
        <v>120</v>
      </c>
      <c r="E93" t="s">
        <v>278</v>
      </c>
      <c r="F93" t="s">
        <v>242</v>
      </c>
      <c r="G93" t="s">
        <v>32</v>
      </c>
      <c r="H93" t="s">
        <v>22</v>
      </c>
      <c r="I93" t="s">
        <v>23</v>
      </c>
      <c r="J93">
        <v>20</v>
      </c>
      <c r="K93">
        <v>398</v>
      </c>
      <c r="L93">
        <v>7960</v>
      </c>
    </row>
    <row r="94" spans="1:12">
      <c r="A94" t="s">
        <v>277</v>
      </c>
      <c r="B94" s="6">
        <v>46192</v>
      </c>
      <c r="C94" t="s">
        <v>11</v>
      </c>
      <c r="D94" t="s">
        <v>120</v>
      </c>
      <c r="E94" t="s">
        <v>258</v>
      </c>
      <c r="F94" t="s">
        <v>100</v>
      </c>
      <c r="G94" t="s">
        <v>41</v>
      </c>
      <c r="H94" t="s">
        <v>42</v>
      </c>
      <c r="I94" t="s">
        <v>23</v>
      </c>
      <c r="J94">
        <v>22</v>
      </c>
      <c r="K94">
        <v>414</v>
      </c>
      <c r="L94">
        <v>9108</v>
      </c>
    </row>
    <row r="95" spans="1:12">
      <c r="A95" t="s">
        <v>126</v>
      </c>
      <c r="B95" s="6">
        <v>46193</v>
      </c>
      <c r="C95" t="s">
        <v>88</v>
      </c>
      <c r="D95" t="s">
        <v>25</v>
      </c>
      <c r="E95" t="s">
        <v>53</v>
      </c>
      <c r="F95" t="s">
        <v>54</v>
      </c>
      <c r="G95" t="s">
        <v>50</v>
      </c>
      <c r="H95" t="s">
        <v>28</v>
      </c>
      <c r="I95" t="s">
        <v>23</v>
      </c>
      <c r="J95">
        <v>25</v>
      </c>
      <c r="K95">
        <v>283</v>
      </c>
      <c r="L95">
        <v>7075</v>
      </c>
    </row>
    <row r="96" spans="1:12">
      <c r="A96" t="s">
        <v>126</v>
      </c>
      <c r="B96" s="6">
        <v>46193</v>
      </c>
      <c r="C96" t="s">
        <v>25</v>
      </c>
      <c r="D96" t="s">
        <v>25</v>
      </c>
      <c r="E96" t="s">
        <v>89</v>
      </c>
      <c r="F96" t="s">
        <v>90</v>
      </c>
      <c r="G96" t="s">
        <v>50</v>
      </c>
      <c r="H96" t="s">
        <v>58</v>
      </c>
      <c r="I96" t="s">
        <v>23</v>
      </c>
      <c r="J96">
        <v>24</v>
      </c>
      <c r="K96">
        <v>474</v>
      </c>
      <c r="L96">
        <v>11376</v>
      </c>
    </row>
    <row r="97" spans="1:12">
      <c r="A97" t="s">
        <v>266</v>
      </c>
      <c r="B97" s="6">
        <v>46193</v>
      </c>
      <c r="C97" t="s">
        <v>44</v>
      </c>
      <c r="D97" t="s">
        <v>44</v>
      </c>
      <c r="E97" t="s">
        <v>79</v>
      </c>
      <c r="F97" t="s">
        <v>80</v>
      </c>
      <c r="G97" t="s">
        <v>32</v>
      </c>
      <c r="H97" t="s">
        <v>33</v>
      </c>
      <c r="I97" t="s">
        <v>23</v>
      </c>
      <c r="J97">
        <v>17</v>
      </c>
      <c r="K97">
        <v>397</v>
      </c>
      <c r="L97">
        <v>6749</v>
      </c>
    </row>
    <row r="98" spans="1:12">
      <c r="A98" t="s">
        <v>272</v>
      </c>
      <c r="B98" s="6">
        <v>46193</v>
      </c>
      <c r="C98" t="s">
        <v>44</v>
      </c>
      <c r="D98" t="s">
        <v>44</v>
      </c>
      <c r="E98" t="s">
        <v>273</v>
      </c>
      <c r="F98" t="s">
        <v>71</v>
      </c>
      <c r="G98" t="s">
        <v>41</v>
      </c>
      <c r="H98" t="s">
        <v>42</v>
      </c>
      <c r="I98" t="s">
        <v>23</v>
      </c>
      <c r="J98">
        <v>22</v>
      </c>
      <c r="K98">
        <v>422</v>
      </c>
      <c r="L98">
        <v>9284</v>
      </c>
    </row>
    <row r="99" spans="1:12">
      <c r="A99" t="s">
        <v>266</v>
      </c>
      <c r="B99" s="6">
        <v>46193</v>
      </c>
      <c r="C99" t="s">
        <v>44</v>
      </c>
      <c r="D99" t="s">
        <v>44</v>
      </c>
      <c r="E99" t="s">
        <v>224</v>
      </c>
      <c r="F99" t="s">
        <v>106</v>
      </c>
      <c r="G99" t="s">
        <v>41</v>
      </c>
      <c r="H99" t="s">
        <v>28</v>
      </c>
      <c r="I99" t="s">
        <v>23</v>
      </c>
      <c r="J99">
        <v>2</v>
      </c>
      <c r="K99">
        <v>287</v>
      </c>
      <c r="L99">
        <v>574</v>
      </c>
    </row>
    <row r="100" spans="1:12">
      <c r="A100" t="s">
        <v>275</v>
      </c>
      <c r="B100" s="6">
        <v>46194</v>
      </c>
      <c r="C100" t="s">
        <v>30</v>
      </c>
      <c r="D100" t="s">
        <v>44</v>
      </c>
      <c r="E100" t="s">
        <v>79</v>
      </c>
      <c r="F100" t="s">
        <v>80</v>
      </c>
      <c r="G100" t="s">
        <v>32</v>
      </c>
      <c r="H100" t="s">
        <v>58</v>
      </c>
      <c r="I100" t="s">
        <v>23</v>
      </c>
      <c r="J100">
        <v>22</v>
      </c>
      <c r="K100">
        <v>452</v>
      </c>
      <c r="L100">
        <v>9944</v>
      </c>
    </row>
    <row r="101" spans="1:12">
      <c r="A101" t="s">
        <v>306</v>
      </c>
      <c r="B101" s="6">
        <v>46194</v>
      </c>
      <c r="C101" t="s">
        <v>139</v>
      </c>
      <c r="D101" t="s">
        <v>139</v>
      </c>
      <c r="E101" t="s">
        <v>297</v>
      </c>
      <c r="F101" t="s">
        <v>106</v>
      </c>
      <c r="G101" t="s">
        <v>50</v>
      </c>
      <c r="H101" t="s">
        <v>28</v>
      </c>
      <c r="I101" t="s">
        <v>23</v>
      </c>
      <c r="J101">
        <v>25</v>
      </c>
      <c r="K101">
        <v>287</v>
      </c>
      <c r="L101">
        <v>7175</v>
      </c>
    </row>
    <row r="102" spans="1:12">
      <c r="A102" t="s">
        <v>84</v>
      </c>
      <c r="B102" s="6">
        <v>46195</v>
      </c>
      <c r="C102" t="s">
        <v>11</v>
      </c>
      <c r="D102" t="s">
        <v>120</v>
      </c>
      <c r="E102" t="s">
        <v>85</v>
      </c>
      <c r="F102" t="s">
        <v>86</v>
      </c>
      <c r="G102" t="s">
        <v>32</v>
      </c>
      <c r="H102" t="s">
        <v>28</v>
      </c>
      <c r="I102" t="s">
        <v>23</v>
      </c>
      <c r="J102">
        <v>12</v>
      </c>
      <c r="K102">
        <v>286</v>
      </c>
      <c r="L102">
        <v>3432</v>
      </c>
    </row>
    <row r="103" spans="1:12">
      <c r="A103" t="s">
        <v>84</v>
      </c>
      <c r="B103" s="6">
        <v>46195</v>
      </c>
      <c r="C103" t="s">
        <v>38</v>
      </c>
      <c r="D103" t="s">
        <v>139</v>
      </c>
      <c r="E103" t="s">
        <v>127</v>
      </c>
      <c r="F103" t="s">
        <v>128</v>
      </c>
      <c r="G103" t="s">
        <v>41</v>
      </c>
      <c r="H103" t="s">
        <v>28</v>
      </c>
      <c r="I103" t="s">
        <v>23</v>
      </c>
      <c r="J103">
        <v>6</v>
      </c>
      <c r="K103">
        <v>300</v>
      </c>
      <c r="L103">
        <v>1800</v>
      </c>
    </row>
    <row r="104" spans="1:12">
      <c r="A104" t="s">
        <v>145</v>
      </c>
      <c r="B104" s="6">
        <v>46195</v>
      </c>
      <c r="C104" t="s">
        <v>30</v>
      </c>
      <c r="D104" t="s">
        <v>44</v>
      </c>
      <c r="E104" t="s">
        <v>70</v>
      </c>
      <c r="F104" t="s">
        <v>71</v>
      </c>
      <c r="G104" t="s">
        <v>50</v>
      </c>
      <c r="H104" t="s">
        <v>58</v>
      </c>
      <c r="I104" t="s">
        <v>23</v>
      </c>
      <c r="J104">
        <v>18</v>
      </c>
      <c r="K104">
        <v>466</v>
      </c>
      <c r="L104">
        <v>8388</v>
      </c>
    </row>
    <row r="105" spans="1:12">
      <c r="A105" t="s">
        <v>162</v>
      </c>
      <c r="B105" s="6">
        <v>46195</v>
      </c>
      <c r="C105" t="s">
        <v>88</v>
      </c>
      <c r="D105" t="s">
        <v>25</v>
      </c>
      <c r="E105" t="s">
        <v>163</v>
      </c>
      <c r="F105" t="s">
        <v>164</v>
      </c>
      <c r="G105" t="s">
        <v>32</v>
      </c>
      <c r="H105" t="s">
        <v>58</v>
      </c>
      <c r="I105" t="s">
        <v>23</v>
      </c>
      <c r="J105">
        <v>10</v>
      </c>
      <c r="K105">
        <v>470</v>
      </c>
      <c r="L105">
        <v>4700</v>
      </c>
    </row>
    <row r="106" spans="1:12">
      <c r="A106" t="s">
        <v>145</v>
      </c>
      <c r="B106" s="6">
        <v>46195</v>
      </c>
      <c r="C106" t="s">
        <v>25</v>
      </c>
      <c r="D106" t="s">
        <v>25</v>
      </c>
      <c r="E106" t="s">
        <v>169</v>
      </c>
      <c r="F106" t="s">
        <v>71</v>
      </c>
      <c r="G106" t="s">
        <v>32</v>
      </c>
      <c r="H106" t="s">
        <v>22</v>
      </c>
      <c r="I106" t="s">
        <v>23</v>
      </c>
      <c r="J106">
        <v>24</v>
      </c>
      <c r="K106">
        <v>409</v>
      </c>
      <c r="L106">
        <v>9816</v>
      </c>
    </row>
    <row r="107" spans="1:12">
      <c r="A107" t="s">
        <v>145</v>
      </c>
      <c r="B107" s="6">
        <v>46195</v>
      </c>
      <c r="C107" t="s">
        <v>120</v>
      </c>
      <c r="D107" t="s">
        <v>120</v>
      </c>
      <c r="E107" t="s">
        <v>35</v>
      </c>
      <c r="F107" t="s">
        <v>36</v>
      </c>
      <c r="G107" t="s">
        <v>14</v>
      </c>
      <c r="H107" t="s">
        <v>28</v>
      </c>
      <c r="I107" t="s">
        <v>23</v>
      </c>
      <c r="J107">
        <v>25</v>
      </c>
      <c r="K107">
        <v>284</v>
      </c>
      <c r="L107">
        <v>7100</v>
      </c>
    </row>
    <row r="108" spans="1:12">
      <c r="A108" t="s">
        <v>162</v>
      </c>
      <c r="B108" s="6">
        <v>46195</v>
      </c>
      <c r="C108" t="s">
        <v>11</v>
      </c>
      <c r="D108" t="s">
        <v>120</v>
      </c>
      <c r="E108" t="s">
        <v>35</v>
      </c>
      <c r="F108" t="s">
        <v>36</v>
      </c>
      <c r="G108" t="s">
        <v>14</v>
      </c>
      <c r="H108" t="s">
        <v>28</v>
      </c>
      <c r="I108" t="s">
        <v>23</v>
      </c>
      <c r="J108">
        <v>6</v>
      </c>
      <c r="K108">
        <v>292</v>
      </c>
      <c r="L108">
        <v>1752</v>
      </c>
    </row>
    <row r="109" spans="1:12">
      <c r="A109" t="s">
        <v>84</v>
      </c>
      <c r="B109" s="6">
        <v>46195</v>
      </c>
      <c r="C109" t="s">
        <v>139</v>
      </c>
      <c r="D109" t="s">
        <v>139</v>
      </c>
      <c r="E109" t="s">
        <v>62</v>
      </c>
      <c r="F109" t="s">
        <v>63</v>
      </c>
      <c r="G109" t="s">
        <v>14</v>
      </c>
      <c r="H109" t="s">
        <v>33</v>
      </c>
      <c r="I109" t="s">
        <v>23</v>
      </c>
      <c r="J109">
        <v>5</v>
      </c>
      <c r="K109">
        <v>381</v>
      </c>
      <c r="L109">
        <v>1905</v>
      </c>
    </row>
    <row r="110" spans="1:12">
      <c r="A110" t="s">
        <v>61</v>
      </c>
      <c r="B110" s="6">
        <v>46196</v>
      </c>
      <c r="C110" t="s">
        <v>38</v>
      </c>
      <c r="D110" t="s">
        <v>139</v>
      </c>
      <c r="E110" t="s">
        <v>62</v>
      </c>
      <c r="F110" t="s">
        <v>63</v>
      </c>
      <c r="G110" t="s">
        <v>14</v>
      </c>
      <c r="H110" t="s">
        <v>58</v>
      </c>
      <c r="I110" t="s">
        <v>23</v>
      </c>
      <c r="J110">
        <v>19</v>
      </c>
      <c r="K110">
        <v>477</v>
      </c>
      <c r="L110">
        <v>9063</v>
      </c>
    </row>
    <row r="111" spans="1:12">
      <c r="A111" t="s">
        <v>180</v>
      </c>
      <c r="B111" s="6">
        <v>46196</v>
      </c>
      <c r="C111" t="s">
        <v>25</v>
      </c>
      <c r="D111" t="s">
        <v>25</v>
      </c>
      <c r="E111" t="s">
        <v>181</v>
      </c>
      <c r="F111" t="s">
        <v>131</v>
      </c>
      <c r="G111" t="s">
        <v>41</v>
      </c>
      <c r="H111" t="s">
        <v>58</v>
      </c>
      <c r="I111" t="s">
        <v>23</v>
      </c>
      <c r="J111">
        <v>21</v>
      </c>
      <c r="K111">
        <v>464</v>
      </c>
      <c r="L111">
        <v>9744</v>
      </c>
    </row>
    <row r="112" spans="1:12">
      <c r="A112" t="s">
        <v>61</v>
      </c>
      <c r="B112" s="6">
        <v>46196</v>
      </c>
      <c r="C112" t="s">
        <v>38</v>
      </c>
      <c r="D112" t="s">
        <v>139</v>
      </c>
      <c r="E112" t="s">
        <v>62</v>
      </c>
      <c r="F112" t="s">
        <v>63</v>
      </c>
      <c r="G112" t="s">
        <v>14</v>
      </c>
      <c r="H112" t="s">
        <v>58</v>
      </c>
      <c r="I112" t="s">
        <v>23</v>
      </c>
      <c r="J112">
        <v>19</v>
      </c>
      <c r="K112">
        <v>477</v>
      </c>
      <c r="L112">
        <v>9063</v>
      </c>
    </row>
    <row r="113" spans="1:12">
      <c r="A113" t="s">
        <v>180</v>
      </c>
      <c r="B113" s="6">
        <v>46196</v>
      </c>
      <c r="C113" t="s">
        <v>38</v>
      </c>
      <c r="D113" t="s">
        <v>139</v>
      </c>
      <c r="E113" t="s">
        <v>297</v>
      </c>
      <c r="F113" t="s">
        <v>106</v>
      </c>
      <c r="G113" t="s">
        <v>50</v>
      </c>
      <c r="H113" t="s">
        <v>15</v>
      </c>
      <c r="I113" t="s">
        <v>16</v>
      </c>
      <c r="J113">
        <v>21</v>
      </c>
      <c r="K113">
        <v>745</v>
      </c>
      <c r="L113">
        <v>15645</v>
      </c>
    </row>
    <row r="114" spans="1:12">
      <c r="A114" t="s">
        <v>180</v>
      </c>
      <c r="B114" s="6">
        <v>46196</v>
      </c>
      <c r="C114" t="s">
        <v>88</v>
      </c>
      <c r="D114" t="s">
        <v>25</v>
      </c>
      <c r="E114" t="s">
        <v>316</v>
      </c>
      <c r="F114" t="s">
        <v>112</v>
      </c>
      <c r="G114" t="s">
        <v>14</v>
      </c>
      <c r="H114" t="s">
        <v>22</v>
      </c>
      <c r="I114" t="s">
        <v>23</v>
      </c>
      <c r="J114">
        <v>16</v>
      </c>
      <c r="K114">
        <v>399</v>
      </c>
      <c r="L114">
        <v>6384</v>
      </c>
    </row>
    <row r="115" spans="1:12">
      <c r="A115" t="s">
        <v>10</v>
      </c>
      <c r="B115" s="6">
        <v>46197</v>
      </c>
      <c r="C115" t="s">
        <v>11</v>
      </c>
      <c r="D115" t="s">
        <v>120</v>
      </c>
      <c r="E115" t="s">
        <v>12</v>
      </c>
      <c r="F115" t="s">
        <v>13</v>
      </c>
      <c r="G115" t="s">
        <v>14</v>
      </c>
      <c r="H115" t="s">
        <v>15</v>
      </c>
      <c r="I115" t="s">
        <v>16</v>
      </c>
      <c r="J115">
        <v>25</v>
      </c>
      <c r="K115">
        <v>741</v>
      </c>
      <c r="L115">
        <v>18525</v>
      </c>
    </row>
    <row r="116" spans="1:12">
      <c r="A116" t="s">
        <v>67</v>
      </c>
      <c r="B116" s="6">
        <v>46197</v>
      </c>
      <c r="C116" t="s">
        <v>11</v>
      </c>
      <c r="D116" t="s">
        <v>120</v>
      </c>
      <c r="E116" t="s">
        <v>68</v>
      </c>
      <c r="F116" t="s">
        <v>36</v>
      </c>
      <c r="G116" t="s">
        <v>50</v>
      </c>
      <c r="H116" t="s">
        <v>15</v>
      </c>
      <c r="I116" t="s">
        <v>16</v>
      </c>
      <c r="J116">
        <v>10</v>
      </c>
      <c r="K116">
        <v>749</v>
      </c>
      <c r="L116">
        <v>7490</v>
      </c>
    </row>
    <row r="117" spans="1:12">
      <c r="A117" t="s">
        <v>177</v>
      </c>
      <c r="B117" s="6">
        <v>46197</v>
      </c>
      <c r="C117" t="s">
        <v>38</v>
      </c>
      <c r="D117" t="s">
        <v>139</v>
      </c>
      <c r="E117" t="s">
        <v>178</v>
      </c>
      <c r="F117" t="s">
        <v>179</v>
      </c>
      <c r="G117" t="s">
        <v>14</v>
      </c>
      <c r="H117" t="s">
        <v>15</v>
      </c>
      <c r="I117" t="s">
        <v>16</v>
      </c>
      <c r="J117">
        <v>10</v>
      </c>
      <c r="K117">
        <v>742</v>
      </c>
      <c r="L117">
        <v>7420</v>
      </c>
    </row>
    <row r="118" spans="1:12">
      <c r="A118" t="s">
        <v>10</v>
      </c>
      <c r="B118" s="6">
        <v>46197</v>
      </c>
      <c r="C118" t="s">
        <v>95</v>
      </c>
      <c r="D118" t="s">
        <v>95</v>
      </c>
      <c r="E118" t="s">
        <v>195</v>
      </c>
      <c r="F118" t="s">
        <v>196</v>
      </c>
      <c r="G118" t="s">
        <v>21</v>
      </c>
      <c r="H118" t="s">
        <v>15</v>
      </c>
      <c r="I118" t="s">
        <v>16</v>
      </c>
      <c r="J118">
        <v>8</v>
      </c>
      <c r="K118">
        <v>760</v>
      </c>
      <c r="L118">
        <v>6080</v>
      </c>
    </row>
    <row r="119" spans="1:12">
      <c r="A119" t="s">
        <v>10</v>
      </c>
      <c r="B119" s="6">
        <v>46197</v>
      </c>
      <c r="C119" t="s">
        <v>73</v>
      </c>
      <c r="D119" t="s">
        <v>44</v>
      </c>
      <c r="E119" t="s">
        <v>74</v>
      </c>
      <c r="F119" t="s">
        <v>36</v>
      </c>
      <c r="G119" t="s">
        <v>41</v>
      </c>
      <c r="H119" t="s">
        <v>15</v>
      </c>
      <c r="I119" t="s">
        <v>16</v>
      </c>
      <c r="J119">
        <v>6</v>
      </c>
      <c r="K119">
        <v>743</v>
      </c>
      <c r="L119">
        <v>4458</v>
      </c>
    </row>
    <row r="120" spans="1:12">
      <c r="A120" t="s">
        <v>67</v>
      </c>
      <c r="B120" s="6">
        <v>46197</v>
      </c>
      <c r="C120" t="s">
        <v>25</v>
      </c>
      <c r="D120" t="s">
        <v>25</v>
      </c>
      <c r="E120" t="s">
        <v>169</v>
      </c>
      <c r="F120" t="s">
        <v>71</v>
      </c>
      <c r="G120" t="s">
        <v>32</v>
      </c>
      <c r="H120" t="s">
        <v>15</v>
      </c>
      <c r="I120" t="s">
        <v>16</v>
      </c>
      <c r="J120">
        <v>18</v>
      </c>
      <c r="K120">
        <v>763</v>
      </c>
      <c r="L120">
        <v>13734</v>
      </c>
    </row>
    <row r="121" spans="1:12">
      <c r="A121" t="s">
        <v>67</v>
      </c>
      <c r="B121" s="6">
        <v>46197</v>
      </c>
      <c r="C121" t="s">
        <v>11</v>
      </c>
      <c r="D121" t="s">
        <v>120</v>
      </c>
      <c r="E121" t="s">
        <v>85</v>
      </c>
      <c r="F121" t="s">
        <v>86</v>
      </c>
      <c r="G121" t="s">
        <v>32</v>
      </c>
      <c r="H121" t="s">
        <v>33</v>
      </c>
      <c r="I121" t="s">
        <v>23</v>
      </c>
      <c r="J121">
        <v>11</v>
      </c>
      <c r="K121">
        <v>394</v>
      </c>
      <c r="L121">
        <v>4334</v>
      </c>
    </row>
    <row r="122" spans="1:12">
      <c r="A122" t="s">
        <v>177</v>
      </c>
      <c r="B122" s="6">
        <v>46197</v>
      </c>
      <c r="C122" t="s">
        <v>73</v>
      </c>
      <c r="D122" t="s">
        <v>44</v>
      </c>
      <c r="E122" t="s">
        <v>70</v>
      </c>
      <c r="F122" t="s">
        <v>71</v>
      </c>
      <c r="G122" t="s">
        <v>50</v>
      </c>
      <c r="H122" t="s">
        <v>42</v>
      </c>
      <c r="I122" t="s">
        <v>23</v>
      </c>
      <c r="J122">
        <v>3</v>
      </c>
      <c r="K122">
        <v>427</v>
      </c>
      <c r="L122">
        <v>1281</v>
      </c>
    </row>
    <row r="123" spans="1:12">
      <c r="A123" t="s">
        <v>177</v>
      </c>
      <c r="B123" s="6">
        <v>46197</v>
      </c>
      <c r="C123" t="s">
        <v>30</v>
      </c>
      <c r="D123" t="s">
        <v>44</v>
      </c>
      <c r="E123" t="s">
        <v>276</v>
      </c>
      <c r="F123" t="s">
        <v>164</v>
      </c>
      <c r="G123" t="s">
        <v>32</v>
      </c>
      <c r="H123" t="s">
        <v>33</v>
      </c>
      <c r="I123" t="s">
        <v>23</v>
      </c>
      <c r="J123">
        <v>4</v>
      </c>
      <c r="K123">
        <v>386</v>
      </c>
      <c r="L123">
        <v>1544</v>
      </c>
    </row>
    <row r="124" spans="1:12">
      <c r="A124" t="s">
        <v>155</v>
      </c>
      <c r="B124" s="6">
        <v>46198</v>
      </c>
      <c r="C124" t="s">
        <v>52</v>
      </c>
      <c r="D124" t="s">
        <v>25</v>
      </c>
      <c r="E124" t="s">
        <v>156</v>
      </c>
      <c r="F124" t="s">
        <v>80</v>
      </c>
      <c r="G124" t="s">
        <v>32</v>
      </c>
      <c r="H124" t="s">
        <v>28</v>
      </c>
      <c r="I124" t="s">
        <v>23</v>
      </c>
      <c r="J124">
        <v>16</v>
      </c>
      <c r="K124">
        <v>278</v>
      </c>
      <c r="L124">
        <v>4448</v>
      </c>
    </row>
    <row r="125" spans="1:12">
      <c r="A125" t="s">
        <v>274</v>
      </c>
      <c r="B125" s="6">
        <v>46198</v>
      </c>
      <c r="C125" t="s">
        <v>52</v>
      </c>
      <c r="D125" t="s">
        <v>25</v>
      </c>
      <c r="E125" t="s">
        <v>26</v>
      </c>
      <c r="F125" t="s">
        <v>27</v>
      </c>
      <c r="G125" t="s">
        <v>14</v>
      </c>
      <c r="H125" t="s">
        <v>28</v>
      </c>
      <c r="I125" t="s">
        <v>23</v>
      </c>
      <c r="J125">
        <v>9</v>
      </c>
      <c r="K125">
        <v>296</v>
      </c>
      <c r="L125">
        <v>2664</v>
      </c>
    </row>
    <row r="126" spans="1:12">
      <c r="A126" t="s">
        <v>290</v>
      </c>
      <c r="B126" s="6">
        <v>46198</v>
      </c>
      <c r="C126" t="s">
        <v>108</v>
      </c>
      <c r="D126" t="s">
        <v>44</v>
      </c>
      <c r="E126" t="s">
        <v>151</v>
      </c>
      <c r="F126" t="s">
        <v>152</v>
      </c>
      <c r="G126" t="s">
        <v>50</v>
      </c>
      <c r="H126" t="s">
        <v>15</v>
      </c>
      <c r="I126" t="s">
        <v>16</v>
      </c>
      <c r="J126">
        <v>17</v>
      </c>
      <c r="K126">
        <v>762</v>
      </c>
      <c r="L126">
        <v>12954</v>
      </c>
    </row>
    <row r="127" spans="1:12">
      <c r="A127" t="s">
        <v>274</v>
      </c>
      <c r="B127" s="6">
        <v>46198</v>
      </c>
      <c r="C127" t="s">
        <v>88</v>
      </c>
      <c r="D127" t="s">
        <v>25</v>
      </c>
      <c r="E127" t="s">
        <v>99</v>
      </c>
      <c r="F127" t="s">
        <v>100</v>
      </c>
      <c r="G127" t="s">
        <v>14</v>
      </c>
      <c r="H127" t="s">
        <v>28</v>
      </c>
      <c r="I127" t="s">
        <v>23</v>
      </c>
      <c r="J127">
        <v>20</v>
      </c>
      <c r="K127">
        <v>298</v>
      </c>
      <c r="L127">
        <v>5960</v>
      </c>
    </row>
    <row r="128" spans="1:12">
      <c r="A128" t="s">
        <v>155</v>
      </c>
      <c r="B128" s="6">
        <v>46198</v>
      </c>
      <c r="C128" t="s">
        <v>120</v>
      </c>
      <c r="D128" t="s">
        <v>120</v>
      </c>
      <c r="E128" t="s">
        <v>35</v>
      </c>
      <c r="F128" t="s">
        <v>36</v>
      </c>
      <c r="G128" t="s">
        <v>14</v>
      </c>
      <c r="H128" t="s">
        <v>42</v>
      </c>
      <c r="I128" t="s">
        <v>23</v>
      </c>
      <c r="J128">
        <v>9</v>
      </c>
      <c r="K128">
        <v>434</v>
      </c>
      <c r="L128">
        <v>3906</v>
      </c>
    </row>
    <row r="129" spans="1:12">
      <c r="A129" t="s">
        <v>94</v>
      </c>
      <c r="B129" s="6">
        <v>46199</v>
      </c>
      <c r="C129" t="s">
        <v>95</v>
      </c>
      <c r="D129" t="s">
        <v>95</v>
      </c>
      <c r="E129" t="s">
        <v>96</v>
      </c>
      <c r="F129" t="s">
        <v>97</v>
      </c>
      <c r="G129" t="s">
        <v>21</v>
      </c>
      <c r="H129" t="s">
        <v>33</v>
      </c>
      <c r="I129" t="s">
        <v>23</v>
      </c>
      <c r="J129">
        <v>24</v>
      </c>
      <c r="K129">
        <v>388</v>
      </c>
      <c r="L129">
        <v>9312</v>
      </c>
    </row>
    <row r="130" spans="1:12">
      <c r="A130" t="s">
        <v>209</v>
      </c>
      <c r="B130" s="6">
        <v>46199</v>
      </c>
      <c r="C130" t="s">
        <v>30</v>
      </c>
      <c r="D130" t="s">
        <v>44</v>
      </c>
      <c r="E130" t="s">
        <v>210</v>
      </c>
      <c r="F130" t="s">
        <v>131</v>
      </c>
      <c r="G130" t="s">
        <v>32</v>
      </c>
      <c r="H130" t="s">
        <v>58</v>
      </c>
      <c r="I130" t="s">
        <v>23</v>
      </c>
      <c r="J130">
        <v>14</v>
      </c>
      <c r="K130">
        <v>453</v>
      </c>
      <c r="L130">
        <v>6342</v>
      </c>
    </row>
    <row r="131" spans="1:12">
      <c r="A131" t="s">
        <v>209</v>
      </c>
      <c r="B131" s="6">
        <v>46199</v>
      </c>
      <c r="C131" t="s">
        <v>95</v>
      </c>
      <c r="D131" t="s">
        <v>95</v>
      </c>
      <c r="E131" t="s">
        <v>271</v>
      </c>
      <c r="F131" t="s">
        <v>103</v>
      </c>
      <c r="G131" t="s">
        <v>41</v>
      </c>
      <c r="H131" t="s">
        <v>22</v>
      </c>
      <c r="I131" t="s">
        <v>23</v>
      </c>
      <c r="J131">
        <v>14</v>
      </c>
      <c r="K131">
        <v>411</v>
      </c>
      <c r="L131">
        <v>5754</v>
      </c>
    </row>
    <row r="132" spans="1:12">
      <c r="A132" t="s">
        <v>94</v>
      </c>
      <c r="B132" s="6">
        <v>46199</v>
      </c>
      <c r="C132" t="s">
        <v>44</v>
      </c>
      <c r="D132" t="s">
        <v>44</v>
      </c>
      <c r="E132" t="s">
        <v>276</v>
      </c>
      <c r="F132" t="s">
        <v>164</v>
      </c>
      <c r="G132" t="s">
        <v>32</v>
      </c>
      <c r="H132" t="s">
        <v>33</v>
      </c>
      <c r="I132" t="s">
        <v>23</v>
      </c>
      <c r="J132">
        <v>4</v>
      </c>
      <c r="K132">
        <v>397</v>
      </c>
      <c r="L132">
        <v>1588</v>
      </c>
    </row>
    <row r="133" spans="1:12">
      <c r="A133" t="s">
        <v>94</v>
      </c>
      <c r="B133" s="6">
        <v>46199</v>
      </c>
      <c r="C133" t="s">
        <v>88</v>
      </c>
      <c r="D133" t="s">
        <v>25</v>
      </c>
      <c r="E133" t="s">
        <v>53</v>
      </c>
      <c r="F133" t="s">
        <v>54</v>
      </c>
      <c r="G133" t="s">
        <v>50</v>
      </c>
      <c r="H133" t="s">
        <v>42</v>
      </c>
      <c r="I133" t="s">
        <v>23</v>
      </c>
      <c r="J133">
        <v>2</v>
      </c>
      <c r="K133">
        <v>423</v>
      </c>
      <c r="L133">
        <v>846</v>
      </c>
    </row>
    <row r="134" spans="1:12">
      <c r="A134" t="s">
        <v>94</v>
      </c>
      <c r="B134" s="6">
        <v>46199</v>
      </c>
      <c r="C134" t="s">
        <v>44</v>
      </c>
      <c r="D134" t="s">
        <v>44</v>
      </c>
      <c r="E134" t="s">
        <v>276</v>
      </c>
      <c r="F134" t="s">
        <v>164</v>
      </c>
      <c r="G134" t="s">
        <v>32</v>
      </c>
      <c r="H134" t="s">
        <v>33</v>
      </c>
      <c r="I134" t="s">
        <v>23</v>
      </c>
      <c r="J134">
        <v>4</v>
      </c>
      <c r="K134">
        <v>397</v>
      </c>
      <c r="L134">
        <v>1588</v>
      </c>
    </row>
    <row r="135" spans="1:12">
      <c r="A135" t="s">
        <v>329</v>
      </c>
      <c r="B135" s="6">
        <v>46199</v>
      </c>
      <c r="C135" t="s">
        <v>120</v>
      </c>
      <c r="D135" t="s">
        <v>120</v>
      </c>
      <c r="E135" t="s">
        <v>68</v>
      </c>
      <c r="F135" t="s">
        <v>36</v>
      </c>
      <c r="G135" t="s">
        <v>50</v>
      </c>
      <c r="H135" t="s">
        <v>22</v>
      </c>
      <c r="I135" t="s">
        <v>23</v>
      </c>
      <c r="J135">
        <v>14</v>
      </c>
      <c r="K135">
        <v>402</v>
      </c>
      <c r="L135">
        <v>5628</v>
      </c>
    </row>
    <row r="136" spans="1:12">
      <c r="A136" t="s">
        <v>24</v>
      </c>
      <c r="B136" s="6">
        <v>46200</v>
      </c>
      <c r="C136" t="s">
        <v>25</v>
      </c>
      <c r="D136" t="s">
        <v>25</v>
      </c>
      <c r="E136" t="s">
        <v>26</v>
      </c>
      <c r="F136" t="s">
        <v>27</v>
      </c>
      <c r="G136" t="s">
        <v>14</v>
      </c>
      <c r="H136" t="s">
        <v>28</v>
      </c>
      <c r="I136" t="s">
        <v>23</v>
      </c>
      <c r="K136">
        <v>287</v>
      </c>
    </row>
    <row r="137" spans="1:12">
      <c r="A137" t="s">
        <v>123</v>
      </c>
      <c r="B137" s="6">
        <v>46200</v>
      </c>
      <c r="C137" t="s">
        <v>11</v>
      </c>
      <c r="D137" t="s">
        <v>120</v>
      </c>
      <c r="E137" t="s">
        <v>35</v>
      </c>
      <c r="F137" t="s">
        <v>36</v>
      </c>
      <c r="G137" t="s">
        <v>14</v>
      </c>
      <c r="H137" t="s">
        <v>22</v>
      </c>
      <c r="I137" t="s">
        <v>23</v>
      </c>
      <c r="J137">
        <v>3</v>
      </c>
      <c r="K137">
        <v>408</v>
      </c>
      <c r="L137">
        <v>1224</v>
      </c>
    </row>
    <row r="138" spans="1:12">
      <c r="A138" t="s">
        <v>24</v>
      </c>
      <c r="B138" s="6">
        <v>46200</v>
      </c>
      <c r="C138" t="s">
        <v>38</v>
      </c>
      <c r="D138" t="s">
        <v>139</v>
      </c>
      <c r="E138" t="s">
        <v>39</v>
      </c>
      <c r="F138" t="s">
        <v>40</v>
      </c>
      <c r="G138" t="s">
        <v>41</v>
      </c>
      <c r="H138" t="s">
        <v>15</v>
      </c>
      <c r="I138" t="s">
        <v>16</v>
      </c>
      <c r="J138">
        <v>22</v>
      </c>
      <c r="K138">
        <v>749</v>
      </c>
      <c r="L138">
        <v>16478</v>
      </c>
    </row>
    <row r="139" spans="1:12">
      <c r="A139" t="s">
        <v>123</v>
      </c>
      <c r="B139" s="6">
        <v>46200</v>
      </c>
      <c r="C139" t="s">
        <v>11</v>
      </c>
      <c r="D139" t="s">
        <v>120</v>
      </c>
      <c r="E139" t="s">
        <v>35</v>
      </c>
      <c r="F139" t="s">
        <v>36</v>
      </c>
      <c r="G139" t="s">
        <v>14</v>
      </c>
      <c r="H139" t="s">
        <v>22</v>
      </c>
      <c r="I139" t="s">
        <v>23</v>
      </c>
      <c r="J139">
        <v>3</v>
      </c>
      <c r="K139">
        <v>408</v>
      </c>
      <c r="L139">
        <v>1224</v>
      </c>
    </row>
    <row r="140" spans="1:12">
      <c r="A140" t="s">
        <v>24</v>
      </c>
      <c r="B140" s="6">
        <v>46200</v>
      </c>
      <c r="C140" t="s">
        <v>11</v>
      </c>
      <c r="D140" t="s">
        <v>120</v>
      </c>
      <c r="E140" t="s">
        <v>68</v>
      </c>
      <c r="F140" t="s">
        <v>36</v>
      </c>
      <c r="G140" t="s">
        <v>50</v>
      </c>
      <c r="H140" t="s">
        <v>28</v>
      </c>
      <c r="I140" t="s">
        <v>23</v>
      </c>
      <c r="J140">
        <v>3</v>
      </c>
      <c r="K140">
        <v>295</v>
      </c>
      <c r="L140">
        <v>885</v>
      </c>
    </row>
    <row r="141" spans="1:12">
      <c r="A141" t="s">
        <v>326</v>
      </c>
      <c r="B141" s="6">
        <v>46200</v>
      </c>
      <c r="C141" t="s">
        <v>18</v>
      </c>
      <c r="D141" t="s">
        <v>95</v>
      </c>
      <c r="E141" t="s">
        <v>234</v>
      </c>
      <c r="F141" t="s">
        <v>235</v>
      </c>
      <c r="G141" t="s">
        <v>50</v>
      </c>
      <c r="H141" t="s">
        <v>33</v>
      </c>
      <c r="I141" t="s">
        <v>23</v>
      </c>
      <c r="J141">
        <v>23</v>
      </c>
      <c r="K141">
        <v>405</v>
      </c>
      <c r="L141">
        <v>9315</v>
      </c>
    </row>
    <row r="142" spans="1:12">
      <c r="A142" t="s">
        <v>211</v>
      </c>
      <c r="B142" s="6">
        <v>46201</v>
      </c>
      <c r="C142" t="s">
        <v>88</v>
      </c>
      <c r="D142" t="s">
        <v>25</v>
      </c>
      <c r="E142" t="s">
        <v>156</v>
      </c>
      <c r="F142" t="s">
        <v>80</v>
      </c>
      <c r="G142" t="s">
        <v>32</v>
      </c>
      <c r="H142" t="s">
        <v>22</v>
      </c>
      <c r="I142" t="s">
        <v>23</v>
      </c>
      <c r="J142">
        <v>15</v>
      </c>
      <c r="K142">
        <v>402</v>
      </c>
      <c r="L142">
        <v>6030</v>
      </c>
    </row>
    <row r="143" spans="1:12">
      <c r="A143" t="s">
        <v>211</v>
      </c>
      <c r="B143" s="6">
        <v>46201</v>
      </c>
      <c r="C143" t="s">
        <v>11</v>
      </c>
      <c r="D143" t="s">
        <v>120</v>
      </c>
      <c r="E143" t="s">
        <v>258</v>
      </c>
      <c r="F143" t="s">
        <v>100</v>
      </c>
      <c r="G143" t="s">
        <v>41</v>
      </c>
      <c r="H143" t="s">
        <v>28</v>
      </c>
      <c r="I143" t="s">
        <v>23</v>
      </c>
      <c r="J143">
        <v>4</v>
      </c>
      <c r="K143">
        <v>282</v>
      </c>
      <c r="L143">
        <v>1128</v>
      </c>
    </row>
    <row r="144" spans="1:12">
      <c r="A144" t="s">
        <v>320</v>
      </c>
      <c r="B144" s="6">
        <v>46201</v>
      </c>
      <c r="C144" t="s">
        <v>110</v>
      </c>
      <c r="D144" t="s">
        <v>95</v>
      </c>
      <c r="E144" t="s">
        <v>294</v>
      </c>
      <c r="F144" t="s">
        <v>71</v>
      </c>
      <c r="G144" t="s">
        <v>14</v>
      </c>
      <c r="H144" t="s">
        <v>22</v>
      </c>
      <c r="I144" t="s">
        <v>23</v>
      </c>
      <c r="J144">
        <v>24</v>
      </c>
      <c r="K144">
        <v>411</v>
      </c>
      <c r="L144">
        <v>9864</v>
      </c>
    </row>
    <row r="145" spans="1:12">
      <c r="A145" t="s">
        <v>197</v>
      </c>
      <c r="B145" s="6">
        <v>46202</v>
      </c>
      <c r="C145" t="s">
        <v>88</v>
      </c>
      <c r="D145" t="s">
        <v>25</v>
      </c>
      <c r="E145" t="s">
        <v>198</v>
      </c>
      <c r="F145" t="s">
        <v>40</v>
      </c>
      <c r="G145" t="s">
        <v>21</v>
      </c>
      <c r="H145" t="s">
        <v>28</v>
      </c>
      <c r="I145" t="s">
        <v>23</v>
      </c>
      <c r="J145">
        <v>8</v>
      </c>
      <c r="K145">
        <v>288</v>
      </c>
      <c r="L145">
        <v>2304</v>
      </c>
    </row>
    <row r="146" spans="1:12">
      <c r="A146" t="s">
        <v>250</v>
      </c>
      <c r="B146" s="6">
        <v>46202</v>
      </c>
      <c r="C146" t="s">
        <v>110</v>
      </c>
      <c r="D146" t="s">
        <v>95</v>
      </c>
      <c r="E146" t="s">
        <v>251</v>
      </c>
      <c r="F146" t="s">
        <v>137</v>
      </c>
      <c r="G146" t="s">
        <v>50</v>
      </c>
      <c r="H146" t="s">
        <v>42</v>
      </c>
      <c r="I146" t="s">
        <v>23</v>
      </c>
      <c r="J146">
        <v>5</v>
      </c>
      <c r="K146">
        <v>436</v>
      </c>
      <c r="L146">
        <v>2180</v>
      </c>
    </row>
    <row r="147" spans="1:12">
      <c r="A147" t="s">
        <v>289</v>
      </c>
      <c r="B147" s="6">
        <v>46202</v>
      </c>
      <c r="C147" t="s">
        <v>108</v>
      </c>
      <c r="D147" t="s">
        <v>44</v>
      </c>
      <c r="E147" t="s">
        <v>210</v>
      </c>
      <c r="F147" t="s">
        <v>131</v>
      </c>
      <c r="G147" t="s">
        <v>32</v>
      </c>
      <c r="H147" t="s">
        <v>42</v>
      </c>
      <c r="I147" t="s">
        <v>23</v>
      </c>
      <c r="J147">
        <v>11</v>
      </c>
      <c r="K147">
        <v>417</v>
      </c>
      <c r="L147">
        <v>4587</v>
      </c>
    </row>
    <row r="148" spans="1:12">
      <c r="A148" t="s">
        <v>289</v>
      </c>
      <c r="B148" s="6">
        <v>46202</v>
      </c>
      <c r="C148" t="s">
        <v>88</v>
      </c>
      <c r="D148" t="s">
        <v>25</v>
      </c>
      <c r="E148" t="s">
        <v>281</v>
      </c>
      <c r="F148" t="s">
        <v>131</v>
      </c>
      <c r="G148" t="s">
        <v>32</v>
      </c>
      <c r="H148" t="s">
        <v>22</v>
      </c>
      <c r="I148" t="s">
        <v>23</v>
      </c>
      <c r="J148">
        <v>20</v>
      </c>
      <c r="K148">
        <v>407</v>
      </c>
      <c r="L148">
        <v>8140</v>
      </c>
    </row>
    <row r="149" spans="1:12">
      <c r="A149" t="s">
        <v>250</v>
      </c>
      <c r="B149" s="6">
        <v>46202</v>
      </c>
      <c r="C149" t="s">
        <v>25</v>
      </c>
      <c r="D149" t="s">
        <v>25</v>
      </c>
      <c r="E149" t="s">
        <v>181</v>
      </c>
      <c r="F149" t="s">
        <v>131</v>
      </c>
      <c r="G149" t="s">
        <v>41</v>
      </c>
      <c r="H149" t="s">
        <v>28</v>
      </c>
      <c r="I149" t="s">
        <v>23</v>
      </c>
      <c r="J149">
        <v>23</v>
      </c>
      <c r="K149">
        <v>287</v>
      </c>
      <c r="L149">
        <v>6601</v>
      </c>
    </row>
    <row r="150" spans="1:12">
      <c r="A150" t="s">
        <v>250</v>
      </c>
      <c r="B150" s="6">
        <v>46202</v>
      </c>
      <c r="C150" t="s">
        <v>30</v>
      </c>
      <c r="D150" t="s">
        <v>44</v>
      </c>
      <c r="E150" t="s">
        <v>282</v>
      </c>
      <c r="F150" t="s">
        <v>131</v>
      </c>
      <c r="G150" t="s">
        <v>41</v>
      </c>
      <c r="H150" t="s">
        <v>15</v>
      </c>
      <c r="I150" t="s">
        <v>16</v>
      </c>
      <c r="J150">
        <v>11</v>
      </c>
      <c r="K150">
        <v>750</v>
      </c>
      <c r="L150">
        <v>8250</v>
      </c>
    </row>
    <row r="151" spans="1:12">
      <c r="A151" t="s">
        <v>250</v>
      </c>
      <c r="B151" s="6">
        <v>46202</v>
      </c>
      <c r="C151" t="s">
        <v>110</v>
      </c>
      <c r="D151" t="s">
        <v>95</v>
      </c>
      <c r="E151" t="s">
        <v>271</v>
      </c>
      <c r="F151" t="s">
        <v>103</v>
      </c>
      <c r="G151" t="s">
        <v>41</v>
      </c>
      <c r="H151" t="s">
        <v>33</v>
      </c>
      <c r="I151" t="s">
        <v>23</v>
      </c>
      <c r="J151">
        <v>7</v>
      </c>
      <c r="K151">
        <v>402</v>
      </c>
      <c r="L151">
        <v>2814</v>
      </c>
    </row>
    <row r="152" spans="1:12">
      <c r="A152" t="s">
        <v>122</v>
      </c>
      <c r="B152" s="6">
        <v>46203</v>
      </c>
      <c r="C152" t="s">
        <v>108</v>
      </c>
      <c r="D152" t="s">
        <v>44</v>
      </c>
      <c r="E152" t="s">
        <v>70</v>
      </c>
      <c r="F152" t="s">
        <v>71</v>
      </c>
      <c r="G152" t="s">
        <v>50</v>
      </c>
      <c r="H152" t="s">
        <v>58</v>
      </c>
      <c r="I152" t="s">
        <v>23</v>
      </c>
      <c r="J152">
        <v>25</v>
      </c>
      <c r="K152">
        <v>456</v>
      </c>
      <c r="L152">
        <v>11400</v>
      </c>
    </row>
    <row r="153" spans="1:12">
      <c r="A153" t="s">
        <v>122</v>
      </c>
      <c r="B153" s="6">
        <v>46203</v>
      </c>
      <c r="C153" t="s">
        <v>38</v>
      </c>
      <c r="D153" t="s">
        <v>139</v>
      </c>
      <c r="E153" t="s">
        <v>207</v>
      </c>
      <c r="F153" t="s">
        <v>196</v>
      </c>
      <c r="G153" t="s">
        <v>50</v>
      </c>
      <c r="H153" t="s">
        <v>33</v>
      </c>
      <c r="I153" t="s">
        <v>23</v>
      </c>
      <c r="J153">
        <v>5</v>
      </c>
      <c r="K153">
        <v>400</v>
      </c>
      <c r="L153">
        <v>2000</v>
      </c>
    </row>
    <row r="154" spans="1:12">
      <c r="A154" t="s">
        <v>295</v>
      </c>
      <c r="B154" s="6">
        <v>46203</v>
      </c>
      <c r="C154" t="s">
        <v>139</v>
      </c>
      <c r="D154" t="s">
        <v>139</v>
      </c>
      <c r="E154" t="s">
        <v>296</v>
      </c>
      <c r="F154" t="s">
        <v>103</v>
      </c>
      <c r="G154" t="s">
        <v>32</v>
      </c>
      <c r="H154" t="s">
        <v>15</v>
      </c>
      <c r="I154" t="s">
        <v>16</v>
      </c>
      <c r="J154">
        <v>1</v>
      </c>
      <c r="K154">
        <v>748</v>
      </c>
      <c r="L154">
        <v>748</v>
      </c>
    </row>
    <row r="155" spans="1:12">
      <c r="A155" t="s">
        <v>324</v>
      </c>
      <c r="B155" s="6">
        <v>46203</v>
      </c>
      <c r="C155" t="s">
        <v>44</v>
      </c>
      <c r="D155" t="s">
        <v>44</v>
      </c>
      <c r="E155" t="s">
        <v>174</v>
      </c>
      <c r="F155" t="s">
        <v>46</v>
      </c>
      <c r="G155" t="s">
        <v>21</v>
      </c>
      <c r="H155" t="s">
        <v>28</v>
      </c>
      <c r="I155" t="s">
        <v>23</v>
      </c>
      <c r="J155">
        <v>1</v>
      </c>
      <c r="K155">
        <v>288</v>
      </c>
      <c r="L155">
        <v>288</v>
      </c>
    </row>
    <row r="156" spans="1:12">
      <c r="A156" t="s">
        <v>81</v>
      </c>
      <c r="B156" s="6">
        <v>46205</v>
      </c>
      <c r="C156" t="s">
        <v>25</v>
      </c>
      <c r="D156" t="s">
        <v>25</v>
      </c>
      <c r="E156" t="s">
        <v>82</v>
      </c>
      <c r="F156" t="s">
        <v>83</v>
      </c>
      <c r="G156" t="s">
        <v>41</v>
      </c>
      <c r="H156" t="s">
        <v>15</v>
      </c>
      <c r="I156" t="s">
        <v>16</v>
      </c>
      <c r="J156">
        <v>11</v>
      </c>
      <c r="K156">
        <v>754</v>
      </c>
      <c r="L156">
        <v>8294</v>
      </c>
    </row>
    <row r="157" spans="1:12">
      <c r="A157" t="s">
        <v>189</v>
      </c>
      <c r="B157" s="6">
        <v>46205</v>
      </c>
      <c r="C157" t="s">
        <v>25</v>
      </c>
      <c r="D157" t="s">
        <v>25</v>
      </c>
      <c r="E157" t="s">
        <v>190</v>
      </c>
      <c r="F157" t="s">
        <v>93</v>
      </c>
      <c r="G157" t="s">
        <v>14</v>
      </c>
      <c r="H157" t="s">
        <v>33</v>
      </c>
      <c r="I157" t="s">
        <v>23</v>
      </c>
      <c r="J157">
        <v>17</v>
      </c>
      <c r="K157">
        <v>392</v>
      </c>
      <c r="L157">
        <v>6664</v>
      </c>
    </row>
    <row r="158" spans="1:12">
      <c r="A158" t="s">
        <v>205</v>
      </c>
      <c r="B158" s="6">
        <v>46205</v>
      </c>
      <c r="C158" t="s">
        <v>11</v>
      </c>
      <c r="D158" t="s">
        <v>120</v>
      </c>
      <c r="E158" t="s">
        <v>188</v>
      </c>
      <c r="F158" t="s">
        <v>152</v>
      </c>
      <c r="G158" t="s">
        <v>21</v>
      </c>
      <c r="H158" t="s">
        <v>15</v>
      </c>
      <c r="I158" t="s">
        <v>16</v>
      </c>
      <c r="J158">
        <v>3</v>
      </c>
      <c r="K158">
        <v>755</v>
      </c>
      <c r="L158">
        <v>2265</v>
      </c>
    </row>
    <row r="159" spans="1:12">
      <c r="A159" t="s">
        <v>205</v>
      </c>
      <c r="B159" s="6">
        <v>46205</v>
      </c>
      <c r="C159" t="s">
        <v>44</v>
      </c>
      <c r="D159" t="s">
        <v>44</v>
      </c>
      <c r="E159" t="s">
        <v>45</v>
      </c>
      <c r="F159" t="s">
        <v>46</v>
      </c>
      <c r="G159" t="s">
        <v>14</v>
      </c>
      <c r="H159" t="s">
        <v>58</v>
      </c>
      <c r="I159" t="s">
        <v>23</v>
      </c>
      <c r="J159">
        <v>10</v>
      </c>
      <c r="K159">
        <v>453</v>
      </c>
      <c r="L159">
        <v>4530</v>
      </c>
    </row>
    <row r="160" spans="1:12">
      <c r="A160" t="s">
        <v>189</v>
      </c>
      <c r="B160" s="6">
        <v>46205</v>
      </c>
      <c r="C160" t="s">
        <v>110</v>
      </c>
      <c r="D160" t="s">
        <v>95</v>
      </c>
      <c r="E160" t="s">
        <v>220</v>
      </c>
      <c r="F160" t="s">
        <v>221</v>
      </c>
      <c r="G160" t="s">
        <v>21</v>
      </c>
      <c r="H160" t="s">
        <v>15</v>
      </c>
      <c r="I160" t="s">
        <v>16</v>
      </c>
      <c r="J160">
        <v>17</v>
      </c>
      <c r="K160">
        <v>749</v>
      </c>
      <c r="L160">
        <v>12733</v>
      </c>
    </row>
    <row r="161" spans="1:12">
      <c r="A161" t="s">
        <v>189</v>
      </c>
      <c r="B161" s="6">
        <v>46205</v>
      </c>
      <c r="C161" t="s">
        <v>120</v>
      </c>
      <c r="D161" t="s">
        <v>120</v>
      </c>
      <c r="E161" t="s">
        <v>125</v>
      </c>
      <c r="F161" t="s">
        <v>112</v>
      </c>
      <c r="G161" t="s">
        <v>32</v>
      </c>
      <c r="H161" t="s">
        <v>42</v>
      </c>
      <c r="I161" t="s">
        <v>23</v>
      </c>
      <c r="J161">
        <v>13</v>
      </c>
      <c r="K161">
        <v>423</v>
      </c>
      <c r="L161">
        <v>5499</v>
      </c>
    </row>
    <row r="162" spans="1:12">
      <c r="A162" t="s">
        <v>81</v>
      </c>
      <c r="B162" s="6">
        <v>46205</v>
      </c>
      <c r="C162" t="s">
        <v>139</v>
      </c>
      <c r="D162" t="s">
        <v>139</v>
      </c>
      <c r="E162" t="s">
        <v>253</v>
      </c>
      <c r="F162" t="s">
        <v>239</v>
      </c>
      <c r="G162" t="s">
        <v>21</v>
      </c>
      <c r="H162" t="s">
        <v>58</v>
      </c>
      <c r="I162" t="s">
        <v>23</v>
      </c>
      <c r="J162">
        <v>17</v>
      </c>
      <c r="K162">
        <v>457</v>
      </c>
      <c r="L162">
        <v>7769</v>
      </c>
    </row>
    <row r="163" spans="1:12">
      <c r="A163" t="s">
        <v>81</v>
      </c>
      <c r="B163" s="6">
        <v>46205</v>
      </c>
      <c r="C163" t="s">
        <v>25</v>
      </c>
      <c r="D163" t="s">
        <v>25</v>
      </c>
      <c r="E163" t="s">
        <v>307</v>
      </c>
      <c r="F163" t="s">
        <v>115</v>
      </c>
      <c r="G163" t="s">
        <v>14</v>
      </c>
      <c r="H163" t="s">
        <v>28</v>
      </c>
      <c r="I163" t="s">
        <v>23</v>
      </c>
      <c r="J163">
        <v>16</v>
      </c>
      <c r="K163">
        <v>287</v>
      </c>
      <c r="L163">
        <v>4592</v>
      </c>
    </row>
    <row r="164" spans="1:12">
      <c r="A164" t="s">
        <v>17</v>
      </c>
      <c r="B164" s="6">
        <v>46206</v>
      </c>
      <c r="C164" t="s">
        <v>18</v>
      </c>
      <c r="D164" t="s">
        <v>95</v>
      </c>
      <c r="E164" t="s">
        <v>19</v>
      </c>
      <c r="F164" t="s">
        <v>20</v>
      </c>
      <c r="G164" t="s">
        <v>21</v>
      </c>
      <c r="H164" t="s">
        <v>22</v>
      </c>
      <c r="I164" t="s">
        <v>23</v>
      </c>
      <c r="J164">
        <v>15</v>
      </c>
      <c r="K164">
        <v>410</v>
      </c>
      <c r="L164">
        <v>6150</v>
      </c>
    </row>
    <row r="165" spans="1:12">
      <c r="A165" t="s">
        <v>216</v>
      </c>
      <c r="B165" s="6">
        <v>46206</v>
      </c>
      <c r="C165" t="s">
        <v>18</v>
      </c>
      <c r="D165" t="s">
        <v>95</v>
      </c>
      <c r="E165" t="s">
        <v>217</v>
      </c>
      <c r="F165" t="s">
        <v>93</v>
      </c>
      <c r="G165" t="s">
        <v>14</v>
      </c>
      <c r="H165" t="s">
        <v>33</v>
      </c>
      <c r="I165" t="s">
        <v>23</v>
      </c>
      <c r="J165">
        <v>3</v>
      </c>
      <c r="K165">
        <v>383</v>
      </c>
      <c r="L165">
        <v>1149</v>
      </c>
    </row>
    <row r="166" spans="1:12">
      <c r="A166" t="s">
        <v>216</v>
      </c>
      <c r="B166" s="6">
        <v>46206</v>
      </c>
      <c r="C166" t="s">
        <v>25</v>
      </c>
      <c r="D166" t="s">
        <v>25</v>
      </c>
      <c r="E166" t="s">
        <v>190</v>
      </c>
      <c r="F166" t="s">
        <v>93</v>
      </c>
      <c r="G166" t="s">
        <v>14</v>
      </c>
      <c r="H166" t="s">
        <v>33</v>
      </c>
      <c r="I166" t="s">
        <v>23</v>
      </c>
      <c r="J166">
        <v>15</v>
      </c>
      <c r="K166">
        <v>409</v>
      </c>
      <c r="L166">
        <v>6135</v>
      </c>
    </row>
    <row r="167" spans="1:12">
      <c r="A167" t="s">
        <v>47</v>
      </c>
      <c r="B167" s="6">
        <v>46207</v>
      </c>
      <c r="C167" t="s">
        <v>30</v>
      </c>
      <c r="D167" t="s">
        <v>44</v>
      </c>
      <c r="E167" t="s">
        <v>48</v>
      </c>
      <c r="F167" t="s">
        <v>49</v>
      </c>
      <c r="G167" t="s">
        <v>50</v>
      </c>
      <c r="H167" t="s">
        <v>22</v>
      </c>
      <c r="I167" t="s">
        <v>23</v>
      </c>
      <c r="J167">
        <v>21</v>
      </c>
      <c r="K167">
        <v>420</v>
      </c>
      <c r="L167">
        <v>8820</v>
      </c>
    </row>
    <row r="168" spans="1:12">
      <c r="A168" t="s">
        <v>148</v>
      </c>
      <c r="B168" s="6">
        <v>46207</v>
      </c>
      <c r="C168" t="s">
        <v>120</v>
      </c>
      <c r="D168" t="s">
        <v>120</v>
      </c>
      <c r="E168" t="s">
        <v>149</v>
      </c>
      <c r="F168" t="s">
        <v>115</v>
      </c>
      <c r="G168" t="s">
        <v>50</v>
      </c>
      <c r="H168" t="s">
        <v>58</v>
      </c>
      <c r="I168" t="s">
        <v>23</v>
      </c>
      <c r="J168">
        <v>5</v>
      </c>
      <c r="K168">
        <v>465</v>
      </c>
      <c r="L168">
        <v>2325</v>
      </c>
    </row>
    <row r="169" spans="1:12">
      <c r="A169" t="s">
        <v>148</v>
      </c>
      <c r="B169" s="6">
        <v>46207</v>
      </c>
      <c r="C169" t="s">
        <v>139</v>
      </c>
      <c r="D169" t="s">
        <v>139</v>
      </c>
      <c r="E169" t="s">
        <v>114</v>
      </c>
      <c r="F169" t="s">
        <v>115</v>
      </c>
      <c r="G169" t="s">
        <v>41</v>
      </c>
      <c r="H169" t="s">
        <v>22</v>
      </c>
      <c r="I169" t="s">
        <v>23</v>
      </c>
      <c r="J169">
        <v>1</v>
      </c>
      <c r="K169">
        <v>408</v>
      </c>
      <c r="L169">
        <v>408</v>
      </c>
    </row>
    <row r="170" spans="1:12">
      <c r="A170" t="s">
        <v>47</v>
      </c>
      <c r="B170" s="6">
        <v>46207</v>
      </c>
      <c r="C170" t="s">
        <v>18</v>
      </c>
      <c r="D170" t="s">
        <v>95</v>
      </c>
      <c r="E170" t="s">
        <v>217</v>
      </c>
      <c r="F170" t="s">
        <v>93</v>
      </c>
      <c r="G170" t="s">
        <v>14</v>
      </c>
      <c r="H170" t="s">
        <v>33</v>
      </c>
      <c r="I170" t="s">
        <v>23</v>
      </c>
      <c r="J170">
        <v>4</v>
      </c>
      <c r="K170">
        <v>400</v>
      </c>
      <c r="L170">
        <v>1600</v>
      </c>
    </row>
    <row r="171" spans="1:12">
      <c r="A171" t="s">
        <v>257</v>
      </c>
      <c r="B171" s="6">
        <v>46207</v>
      </c>
      <c r="C171" t="s">
        <v>120</v>
      </c>
      <c r="D171" t="s">
        <v>120</v>
      </c>
      <c r="E171" t="s">
        <v>121</v>
      </c>
      <c r="F171" t="s">
        <v>63</v>
      </c>
      <c r="G171" t="s">
        <v>14</v>
      </c>
      <c r="H171" t="s">
        <v>15</v>
      </c>
      <c r="I171" t="s">
        <v>16</v>
      </c>
      <c r="J171">
        <v>25</v>
      </c>
      <c r="K171">
        <v>749</v>
      </c>
      <c r="L171">
        <v>18725</v>
      </c>
    </row>
    <row r="172" spans="1:12">
      <c r="A172" t="s">
        <v>148</v>
      </c>
      <c r="B172" s="6">
        <v>46207</v>
      </c>
      <c r="C172" t="s">
        <v>120</v>
      </c>
      <c r="D172" t="s">
        <v>120</v>
      </c>
      <c r="E172" t="s">
        <v>149</v>
      </c>
      <c r="F172" t="s">
        <v>115</v>
      </c>
      <c r="G172" t="s">
        <v>50</v>
      </c>
      <c r="H172" t="s">
        <v>58</v>
      </c>
      <c r="I172" t="s">
        <v>23</v>
      </c>
      <c r="J172">
        <v>5</v>
      </c>
      <c r="K172">
        <v>465</v>
      </c>
      <c r="L172">
        <v>2325</v>
      </c>
    </row>
    <row r="173" spans="1:12">
      <c r="A173" t="s">
        <v>47</v>
      </c>
      <c r="B173" s="6">
        <v>46207</v>
      </c>
      <c r="C173" t="s">
        <v>38</v>
      </c>
      <c r="D173" t="s">
        <v>139</v>
      </c>
      <c r="E173" t="s">
        <v>240</v>
      </c>
      <c r="F173" t="s">
        <v>239</v>
      </c>
      <c r="G173" t="s">
        <v>21</v>
      </c>
      <c r="H173" t="s">
        <v>28</v>
      </c>
      <c r="I173" t="s">
        <v>23</v>
      </c>
      <c r="J173">
        <v>22</v>
      </c>
      <c r="K173">
        <v>298</v>
      </c>
      <c r="L173">
        <v>6556</v>
      </c>
    </row>
    <row r="174" spans="1:12">
      <c r="A174" t="s">
        <v>257</v>
      </c>
      <c r="B174" s="6">
        <v>46207</v>
      </c>
      <c r="C174" t="s">
        <v>38</v>
      </c>
      <c r="D174" t="s">
        <v>139</v>
      </c>
      <c r="E174" t="s">
        <v>140</v>
      </c>
      <c r="F174" t="s">
        <v>118</v>
      </c>
      <c r="G174" t="s">
        <v>50</v>
      </c>
      <c r="H174" t="s">
        <v>15</v>
      </c>
      <c r="I174" t="s">
        <v>16</v>
      </c>
      <c r="J174">
        <v>10</v>
      </c>
      <c r="K174">
        <v>755</v>
      </c>
      <c r="L174">
        <v>7550</v>
      </c>
    </row>
    <row r="175" spans="1:12">
      <c r="A175" t="s">
        <v>257</v>
      </c>
      <c r="B175" s="6">
        <v>46207</v>
      </c>
      <c r="C175" t="s">
        <v>18</v>
      </c>
      <c r="D175" t="s">
        <v>95</v>
      </c>
      <c r="E175" t="s">
        <v>111</v>
      </c>
      <c r="F175" t="s">
        <v>112</v>
      </c>
      <c r="G175" t="s">
        <v>50</v>
      </c>
      <c r="H175" t="s">
        <v>15</v>
      </c>
      <c r="I175" t="s">
        <v>16</v>
      </c>
      <c r="J175">
        <v>14</v>
      </c>
      <c r="K175">
        <v>756</v>
      </c>
      <c r="L175">
        <v>10584</v>
      </c>
    </row>
    <row r="176" spans="1:12">
      <c r="A176" t="s">
        <v>215</v>
      </c>
      <c r="B176" s="6">
        <v>46208</v>
      </c>
      <c r="C176" t="s">
        <v>11</v>
      </c>
      <c r="D176" t="s">
        <v>120</v>
      </c>
      <c r="E176" t="s">
        <v>188</v>
      </c>
      <c r="F176" t="s">
        <v>152</v>
      </c>
      <c r="G176" t="s">
        <v>21</v>
      </c>
      <c r="H176" t="s">
        <v>15</v>
      </c>
      <c r="I176" t="s">
        <v>16</v>
      </c>
      <c r="J176">
        <v>22</v>
      </c>
      <c r="K176">
        <v>763</v>
      </c>
      <c r="L176">
        <v>16786</v>
      </c>
    </row>
    <row r="177" spans="1:12">
      <c r="A177" t="s">
        <v>286</v>
      </c>
      <c r="B177" s="6">
        <v>46208</v>
      </c>
      <c r="C177" t="s">
        <v>120</v>
      </c>
      <c r="D177" t="s">
        <v>120</v>
      </c>
      <c r="E177" t="s">
        <v>92</v>
      </c>
      <c r="F177" t="s">
        <v>93</v>
      </c>
      <c r="G177" t="s">
        <v>14</v>
      </c>
      <c r="H177" t="s">
        <v>42</v>
      </c>
      <c r="I177" t="s">
        <v>23</v>
      </c>
      <c r="J177">
        <v>22</v>
      </c>
      <c r="K177">
        <v>411</v>
      </c>
      <c r="L177">
        <v>9042</v>
      </c>
    </row>
    <row r="178" spans="1:12">
      <c r="A178" t="s">
        <v>132</v>
      </c>
      <c r="B178" s="6">
        <v>46209</v>
      </c>
      <c r="C178" t="s">
        <v>88</v>
      </c>
      <c r="D178" t="s">
        <v>25</v>
      </c>
      <c r="E178" t="s">
        <v>102</v>
      </c>
      <c r="F178" t="s">
        <v>103</v>
      </c>
      <c r="G178" t="s">
        <v>14</v>
      </c>
      <c r="H178" t="s">
        <v>22</v>
      </c>
      <c r="I178" t="s">
        <v>23</v>
      </c>
      <c r="J178">
        <v>15</v>
      </c>
      <c r="K178">
        <v>410</v>
      </c>
      <c r="L178">
        <v>6150</v>
      </c>
    </row>
    <row r="179" spans="1:12">
      <c r="A179" t="s">
        <v>132</v>
      </c>
      <c r="B179" s="6">
        <v>46209</v>
      </c>
      <c r="C179" t="s">
        <v>11</v>
      </c>
      <c r="D179" t="s">
        <v>120</v>
      </c>
      <c r="E179" t="s">
        <v>121</v>
      </c>
      <c r="F179" t="s">
        <v>63</v>
      </c>
      <c r="G179" t="s">
        <v>14</v>
      </c>
      <c r="H179" t="s">
        <v>33</v>
      </c>
      <c r="I179" t="s">
        <v>23</v>
      </c>
      <c r="J179">
        <v>15</v>
      </c>
      <c r="K179">
        <v>405</v>
      </c>
      <c r="L179">
        <v>6075</v>
      </c>
    </row>
    <row r="180" spans="1:12">
      <c r="A180" t="s">
        <v>132</v>
      </c>
      <c r="B180" s="6">
        <v>46209</v>
      </c>
      <c r="C180" t="s">
        <v>88</v>
      </c>
      <c r="D180" t="s">
        <v>25</v>
      </c>
      <c r="E180" t="s">
        <v>102</v>
      </c>
      <c r="F180" t="s">
        <v>103</v>
      </c>
      <c r="G180" t="s">
        <v>14</v>
      </c>
      <c r="H180" t="s">
        <v>22</v>
      </c>
      <c r="I180" t="s">
        <v>23</v>
      </c>
      <c r="J180">
        <v>15</v>
      </c>
      <c r="K180">
        <v>410</v>
      </c>
      <c r="L180">
        <v>6150</v>
      </c>
    </row>
    <row r="181" spans="1:12">
      <c r="A181" t="s">
        <v>260</v>
      </c>
      <c r="B181" s="6">
        <v>46209</v>
      </c>
      <c r="C181" t="s">
        <v>88</v>
      </c>
      <c r="D181" t="s">
        <v>25</v>
      </c>
      <c r="E181" t="s">
        <v>76</v>
      </c>
      <c r="F181" t="s">
        <v>77</v>
      </c>
      <c r="G181" t="s">
        <v>41</v>
      </c>
      <c r="H181" t="s">
        <v>22</v>
      </c>
      <c r="I181" t="s">
        <v>23</v>
      </c>
      <c r="J181">
        <v>8</v>
      </c>
      <c r="K181">
        <v>409</v>
      </c>
      <c r="L181">
        <v>3272</v>
      </c>
    </row>
    <row r="182" spans="1:12">
      <c r="A182" t="s">
        <v>260</v>
      </c>
      <c r="B182" s="6">
        <v>46209</v>
      </c>
      <c r="C182" t="s">
        <v>88</v>
      </c>
      <c r="D182" t="s">
        <v>25</v>
      </c>
      <c r="E182" t="s">
        <v>76</v>
      </c>
      <c r="F182" t="s">
        <v>77</v>
      </c>
      <c r="G182" t="s">
        <v>41</v>
      </c>
      <c r="H182" t="s">
        <v>22</v>
      </c>
      <c r="I182" t="s">
        <v>23</v>
      </c>
      <c r="J182">
        <v>8</v>
      </c>
      <c r="K182">
        <v>409</v>
      </c>
      <c r="L182">
        <v>3272</v>
      </c>
    </row>
    <row r="183" spans="1:12">
      <c r="A183" t="s">
        <v>132</v>
      </c>
      <c r="B183" s="6">
        <v>46209</v>
      </c>
      <c r="C183" t="s">
        <v>139</v>
      </c>
      <c r="D183" t="s">
        <v>139</v>
      </c>
      <c r="E183" t="s">
        <v>140</v>
      </c>
      <c r="F183" t="s">
        <v>118</v>
      </c>
      <c r="G183" t="s">
        <v>50</v>
      </c>
      <c r="H183" t="s">
        <v>28</v>
      </c>
      <c r="I183" t="s">
        <v>23</v>
      </c>
      <c r="J183">
        <v>15</v>
      </c>
      <c r="K183">
        <v>292</v>
      </c>
      <c r="L183">
        <v>4380</v>
      </c>
    </row>
    <row r="184" spans="1:12">
      <c r="A184" t="s">
        <v>143</v>
      </c>
      <c r="B184" s="6">
        <v>46210</v>
      </c>
      <c r="C184" t="s">
        <v>95</v>
      </c>
      <c r="D184" t="s">
        <v>95</v>
      </c>
      <c r="E184" t="s">
        <v>144</v>
      </c>
      <c r="F184" t="s">
        <v>118</v>
      </c>
      <c r="G184" t="s">
        <v>50</v>
      </c>
      <c r="H184" t="s">
        <v>22</v>
      </c>
      <c r="I184" t="s">
        <v>23</v>
      </c>
      <c r="J184">
        <v>20</v>
      </c>
      <c r="K184">
        <v>399</v>
      </c>
      <c r="L184">
        <v>7980</v>
      </c>
    </row>
    <row r="185" spans="1:12">
      <c r="A185" t="s">
        <v>158</v>
      </c>
      <c r="B185" s="6">
        <v>46210</v>
      </c>
      <c r="C185" t="s">
        <v>11</v>
      </c>
      <c r="D185" t="s">
        <v>120</v>
      </c>
      <c r="E185" t="s">
        <v>159</v>
      </c>
      <c r="F185" t="s">
        <v>160</v>
      </c>
      <c r="G185" t="s">
        <v>50</v>
      </c>
      <c r="H185" t="s">
        <v>28</v>
      </c>
      <c r="I185" t="s">
        <v>23</v>
      </c>
      <c r="J185">
        <v>18</v>
      </c>
      <c r="K185">
        <v>290</v>
      </c>
      <c r="L185">
        <v>5220</v>
      </c>
    </row>
    <row r="186" spans="1:12">
      <c r="A186" t="s">
        <v>143</v>
      </c>
      <c r="B186" s="6">
        <v>46210</v>
      </c>
      <c r="C186" t="s">
        <v>18</v>
      </c>
      <c r="D186" t="s">
        <v>95</v>
      </c>
      <c r="E186" t="s">
        <v>105</v>
      </c>
      <c r="F186" t="s">
        <v>106</v>
      </c>
      <c r="G186" t="s">
        <v>50</v>
      </c>
      <c r="H186" t="s">
        <v>15</v>
      </c>
      <c r="I186" t="s">
        <v>16</v>
      </c>
      <c r="J186">
        <v>12</v>
      </c>
      <c r="K186">
        <v>761</v>
      </c>
      <c r="L186">
        <v>9132</v>
      </c>
    </row>
    <row r="187" spans="1:12">
      <c r="A187" t="s">
        <v>143</v>
      </c>
      <c r="B187" s="6">
        <v>46210</v>
      </c>
      <c r="C187" t="s">
        <v>38</v>
      </c>
      <c r="D187" t="s">
        <v>139</v>
      </c>
      <c r="E187" t="s">
        <v>255</v>
      </c>
      <c r="F187" t="s">
        <v>27</v>
      </c>
      <c r="G187" t="s">
        <v>41</v>
      </c>
      <c r="H187" t="s">
        <v>15</v>
      </c>
      <c r="I187" t="s">
        <v>16</v>
      </c>
      <c r="J187">
        <v>18</v>
      </c>
      <c r="K187">
        <v>747</v>
      </c>
      <c r="L187">
        <v>13446</v>
      </c>
    </row>
    <row r="188" spans="1:12">
      <c r="A188" t="s">
        <v>158</v>
      </c>
      <c r="B188" s="6">
        <v>46210</v>
      </c>
      <c r="C188" t="s">
        <v>11</v>
      </c>
      <c r="D188" t="s">
        <v>120</v>
      </c>
      <c r="E188" t="s">
        <v>188</v>
      </c>
      <c r="F188" t="s">
        <v>152</v>
      </c>
      <c r="G188" t="s">
        <v>21</v>
      </c>
      <c r="H188" t="s">
        <v>22</v>
      </c>
      <c r="I188" t="s">
        <v>23</v>
      </c>
      <c r="J188">
        <v>14</v>
      </c>
      <c r="K188">
        <v>395</v>
      </c>
      <c r="L188">
        <v>5530</v>
      </c>
    </row>
    <row r="189" spans="1:12">
      <c r="A189" t="s">
        <v>158</v>
      </c>
      <c r="B189" s="6">
        <v>46210</v>
      </c>
      <c r="C189" t="s">
        <v>11</v>
      </c>
      <c r="D189" t="s">
        <v>120</v>
      </c>
      <c r="E189" t="s">
        <v>284</v>
      </c>
      <c r="F189" t="s">
        <v>66</v>
      </c>
      <c r="G189" t="s">
        <v>14</v>
      </c>
      <c r="H189" t="s">
        <v>58</v>
      </c>
      <c r="I189" t="s">
        <v>23</v>
      </c>
      <c r="J189">
        <v>12</v>
      </c>
      <c r="K189">
        <v>459</v>
      </c>
      <c r="L189">
        <v>5508</v>
      </c>
    </row>
    <row r="190" spans="1:12">
      <c r="A190" t="s">
        <v>116</v>
      </c>
      <c r="B190" s="6">
        <v>46211</v>
      </c>
      <c r="C190" t="s">
        <v>110</v>
      </c>
      <c r="D190" t="s">
        <v>95</v>
      </c>
      <c r="E190" t="s">
        <v>117</v>
      </c>
      <c r="F190" t="s">
        <v>118</v>
      </c>
      <c r="G190" t="s">
        <v>21</v>
      </c>
      <c r="H190" t="s">
        <v>22</v>
      </c>
      <c r="I190" t="s">
        <v>23</v>
      </c>
      <c r="J190">
        <v>18</v>
      </c>
      <c r="K190">
        <v>420</v>
      </c>
      <c r="L190">
        <v>7560</v>
      </c>
    </row>
    <row r="191" spans="1:12">
      <c r="A191" t="s">
        <v>124</v>
      </c>
      <c r="B191" s="6">
        <v>46211</v>
      </c>
      <c r="C191" t="s">
        <v>120</v>
      </c>
      <c r="D191" t="s">
        <v>120</v>
      </c>
      <c r="E191" t="s">
        <v>125</v>
      </c>
      <c r="F191" t="s">
        <v>112</v>
      </c>
      <c r="G191" t="s">
        <v>32</v>
      </c>
      <c r="H191" t="s">
        <v>28</v>
      </c>
      <c r="I191" t="s">
        <v>23</v>
      </c>
      <c r="J191">
        <v>4</v>
      </c>
      <c r="K191">
        <v>277</v>
      </c>
      <c r="L191">
        <v>1108</v>
      </c>
    </row>
    <row r="192" spans="1:12">
      <c r="A192" t="s">
        <v>191</v>
      </c>
      <c r="B192" s="6">
        <v>46211</v>
      </c>
      <c r="C192" t="s">
        <v>18</v>
      </c>
      <c r="D192" t="s">
        <v>95</v>
      </c>
      <c r="E192" t="s">
        <v>105</v>
      </c>
      <c r="F192" t="s">
        <v>106</v>
      </c>
      <c r="G192" t="s">
        <v>50</v>
      </c>
      <c r="H192" t="s">
        <v>58</v>
      </c>
      <c r="I192" t="s">
        <v>23</v>
      </c>
      <c r="J192">
        <v>5</v>
      </c>
      <c r="K192">
        <v>455</v>
      </c>
      <c r="L192">
        <v>2275</v>
      </c>
    </row>
    <row r="193" spans="1:12">
      <c r="A193" t="s">
        <v>124</v>
      </c>
      <c r="B193" s="6">
        <v>46211</v>
      </c>
      <c r="C193" t="s">
        <v>25</v>
      </c>
      <c r="D193" t="s">
        <v>25</v>
      </c>
      <c r="E193" t="s">
        <v>241</v>
      </c>
      <c r="F193" t="s">
        <v>242</v>
      </c>
      <c r="G193" t="s">
        <v>14</v>
      </c>
      <c r="H193" t="s">
        <v>42</v>
      </c>
      <c r="I193" t="s">
        <v>23</v>
      </c>
      <c r="J193">
        <v>21</v>
      </c>
      <c r="K193">
        <v>424</v>
      </c>
      <c r="L193">
        <v>8904</v>
      </c>
    </row>
    <row r="194" spans="1:12">
      <c r="A194" t="s">
        <v>116</v>
      </c>
      <c r="B194" s="6">
        <v>46211</v>
      </c>
      <c r="C194" t="s">
        <v>25</v>
      </c>
      <c r="D194" t="s">
        <v>25</v>
      </c>
      <c r="E194" t="s">
        <v>241</v>
      </c>
      <c r="F194" t="s">
        <v>242</v>
      </c>
      <c r="G194" t="s">
        <v>14</v>
      </c>
      <c r="H194" t="s">
        <v>28</v>
      </c>
      <c r="I194" t="s">
        <v>23</v>
      </c>
      <c r="J194">
        <v>14</v>
      </c>
      <c r="K194">
        <v>291</v>
      </c>
      <c r="L194">
        <v>4074</v>
      </c>
    </row>
    <row r="195" spans="1:12">
      <c r="A195" t="s">
        <v>116</v>
      </c>
      <c r="B195" s="6">
        <v>46211</v>
      </c>
      <c r="C195" t="s">
        <v>88</v>
      </c>
      <c r="D195" t="s">
        <v>25</v>
      </c>
      <c r="E195" t="s">
        <v>241</v>
      </c>
      <c r="F195" t="s">
        <v>242</v>
      </c>
      <c r="G195" t="s">
        <v>14</v>
      </c>
      <c r="H195" t="s">
        <v>15</v>
      </c>
      <c r="I195" t="s">
        <v>16</v>
      </c>
      <c r="J195">
        <v>5</v>
      </c>
      <c r="K195">
        <v>735</v>
      </c>
      <c r="L195">
        <v>3675</v>
      </c>
    </row>
    <row r="196" spans="1:12">
      <c r="A196" t="s">
        <v>153</v>
      </c>
      <c r="B196" s="6">
        <v>46212</v>
      </c>
      <c r="C196" t="s">
        <v>110</v>
      </c>
      <c r="D196" t="s">
        <v>95</v>
      </c>
      <c r="E196" t="s">
        <v>154</v>
      </c>
      <c r="F196" t="s">
        <v>71</v>
      </c>
      <c r="G196" t="s">
        <v>50</v>
      </c>
      <c r="H196" t="s">
        <v>58</v>
      </c>
      <c r="I196" t="s">
        <v>23</v>
      </c>
      <c r="J196">
        <v>25</v>
      </c>
      <c r="K196">
        <v>460</v>
      </c>
      <c r="L196">
        <v>11500</v>
      </c>
    </row>
    <row r="197" spans="1:12">
      <c r="A197" t="s">
        <v>153</v>
      </c>
      <c r="B197" s="6">
        <v>46212</v>
      </c>
      <c r="C197" t="s">
        <v>25</v>
      </c>
      <c r="D197" t="s">
        <v>25</v>
      </c>
      <c r="E197" t="s">
        <v>76</v>
      </c>
      <c r="F197" t="s">
        <v>77</v>
      </c>
      <c r="G197" t="s">
        <v>41</v>
      </c>
      <c r="H197" t="s">
        <v>28</v>
      </c>
      <c r="I197" t="s">
        <v>23</v>
      </c>
      <c r="J197">
        <v>22</v>
      </c>
      <c r="K197">
        <v>289</v>
      </c>
      <c r="L197">
        <v>6358</v>
      </c>
    </row>
    <row r="198" spans="1:12">
      <c r="A198" t="s">
        <v>287</v>
      </c>
      <c r="B198" s="6">
        <v>46212</v>
      </c>
      <c r="C198" t="s">
        <v>44</v>
      </c>
      <c r="D198" t="s">
        <v>44</v>
      </c>
      <c r="E198" t="s">
        <v>288</v>
      </c>
      <c r="F198" t="s">
        <v>164</v>
      </c>
      <c r="G198" t="s">
        <v>21</v>
      </c>
      <c r="H198" t="s">
        <v>58</v>
      </c>
      <c r="I198" t="s">
        <v>23</v>
      </c>
      <c r="J198">
        <v>10</v>
      </c>
      <c r="K198">
        <v>460</v>
      </c>
      <c r="L198">
        <v>4600</v>
      </c>
    </row>
    <row r="199" spans="1:12">
      <c r="A199" t="s">
        <v>153</v>
      </c>
      <c r="B199" s="6">
        <v>46212</v>
      </c>
      <c r="C199" t="s">
        <v>139</v>
      </c>
      <c r="D199" t="s">
        <v>139</v>
      </c>
      <c r="E199" t="s">
        <v>255</v>
      </c>
      <c r="F199" t="s">
        <v>27</v>
      </c>
      <c r="G199" t="s">
        <v>41</v>
      </c>
      <c r="H199" t="s">
        <v>15</v>
      </c>
      <c r="I199" t="s">
        <v>16</v>
      </c>
      <c r="J199">
        <v>22</v>
      </c>
      <c r="K199">
        <v>739</v>
      </c>
      <c r="L199">
        <v>16258</v>
      </c>
    </row>
    <row r="200" spans="1:12">
      <c r="A200" t="s">
        <v>328</v>
      </c>
      <c r="B200" s="6">
        <v>46212</v>
      </c>
      <c r="C200" t="s">
        <v>52</v>
      </c>
      <c r="D200" t="s">
        <v>25</v>
      </c>
      <c r="E200" t="s">
        <v>168</v>
      </c>
      <c r="F200" t="s">
        <v>115</v>
      </c>
      <c r="G200" t="s">
        <v>41</v>
      </c>
      <c r="H200" t="s">
        <v>33</v>
      </c>
      <c r="I200" t="s">
        <v>23</v>
      </c>
      <c r="J200">
        <v>25</v>
      </c>
      <c r="K200">
        <v>389</v>
      </c>
      <c r="L200">
        <v>9725</v>
      </c>
    </row>
    <row r="201" spans="1:12">
      <c r="A201" t="s">
        <v>119</v>
      </c>
      <c r="B201" s="6">
        <v>46213</v>
      </c>
      <c r="C201" t="s">
        <v>120</v>
      </c>
      <c r="D201" t="s">
        <v>120</v>
      </c>
      <c r="E201" t="s">
        <v>121</v>
      </c>
      <c r="F201" t="s">
        <v>63</v>
      </c>
      <c r="G201" t="s">
        <v>14</v>
      </c>
      <c r="H201" t="s">
        <v>15</v>
      </c>
      <c r="I201" t="s">
        <v>16</v>
      </c>
      <c r="J201">
        <v>16</v>
      </c>
      <c r="K201">
        <v>739</v>
      </c>
      <c r="L201">
        <v>11824</v>
      </c>
    </row>
    <row r="202" spans="1:12">
      <c r="A202" t="s">
        <v>141</v>
      </c>
      <c r="B202" s="6">
        <v>46213</v>
      </c>
      <c r="C202" t="s">
        <v>88</v>
      </c>
      <c r="D202" t="s">
        <v>25</v>
      </c>
      <c r="E202" t="s">
        <v>142</v>
      </c>
      <c r="F202" t="s">
        <v>137</v>
      </c>
      <c r="G202" t="s">
        <v>41</v>
      </c>
      <c r="H202" t="s">
        <v>42</v>
      </c>
      <c r="I202" t="s">
        <v>23</v>
      </c>
      <c r="J202">
        <v>23</v>
      </c>
      <c r="K202">
        <v>434</v>
      </c>
      <c r="L202">
        <v>9982</v>
      </c>
    </row>
    <row r="203" spans="1:12">
      <c r="A203" t="s">
        <v>167</v>
      </c>
      <c r="B203" s="6">
        <v>46213</v>
      </c>
      <c r="C203" t="s">
        <v>25</v>
      </c>
      <c r="D203" t="s">
        <v>25</v>
      </c>
      <c r="E203" t="s">
        <v>168</v>
      </c>
      <c r="F203" t="s">
        <v>115</v>
      </c>
      <c r="G203" t="s">
        <v>41</v>
      </c>
      <c r="H203" t="s">
        <v>42</v>
      </c>
      <c r="I203" t="s">
        <v>23</v>
      </c>
      <c r="J203">
        <v>2</v>
      </c>
      <c r="K203">
        <v>438</v>
      </c>
      <c r="L203">
        <v>876</v>
      </c>
    </row>
    <row r="204" spans="1:12">
      <c r="A204" t="s">
        <v>141</v>
      </c>
      <c r="B204" s="6">
        <v>46213</v>
      </c>
      <c r="C204" t="s">
        <v>95</v>
      </c>
      <c r="D204" t="s">
        <v>95</v>
      </c>
      <c r="E204" t="s">
        <v>228</v>
      </c>
      <c r="F204" t="s">
        <v>164</v>
      </c>
      <c r="G204" t="s">
        <v>41</v>
      </c>
      <c r="H204" t="s">
        <v>15</v>
      </c>
      <c r="I204" t="s">
        <v>16</v>
      </c>
      <c r="J204">
        <v>4</v>
      </c>
      <c r="K204">
        <v>741</v>
      </c>
      <c r="L204">
        <v>2964</v>
      </c>
    </row>
    <row r="205" spans="1:12">
      <c r="A205" t="s">
        <v>141</v>
      </c>
      <c r="B205" s="6">
        <v>46213</v>
      </c>
      <c r="C205" t="s">
        <v>11</v>
      </c>
      <c r="D205" t="s">
        <v>120</v>
      </c>
      <c r="E205" t="s">
        <v>56</v>
      </c>
      <c r="F205" t="s">
        <v>57</v>
      </c>
      <c r="G205" t="s">
        <v>32</v>
      </c>
      <c r="H205" t="s">
        <v>15</v>
      </c>
      <c r="I205" t="s">
        <v>16</v>
      </c>
      <c r="J205">
        <v>4</v>
      </c>
      <c r="K205">
        <v>756</v>
      </c>
      <c r="L205">
        <v>3024</v>
      </c>
    </row>
    <row r="206" spans="1:12">
      <c r="A206" t="s">
        <v>167</v>
      </c>
      <c r="B206" s="6">
        <v>46213</v>
      </c>
      <c r="C206" t="s">
        <v>139</v>
      </c>
      <c r="D206" t="s">
        <v>139</v>
      </c>
      <c r="E206" t="s">
        <v>240</v>
      </c>
      <c r="F206" t="s">
        <v>239</v>
      </c>
      <c r="G206" t="s">
        <v>21</v>
      </c>
      <c r="H206" t="s">
        <v>15</v>
      </c>
      <c r="I206" t="s">
        <v>16</v>
      </c>
      <c r="J206">
        <v>10</v>
      </c>
      <c r="K206">
        <v>757</v>
      </c>
      <c r="L206">
        <v>7570</v>
      </c>
    </row>
    <row r="207" spans="1:12">
      <c r="A207" t="s">
        <v>167</v>
      </c>
      <c r="B207" s="6">
        <v>46213</v>
      </c>
      <c r="C207" t="s">
        <v>88</v>
      </c>
      <c r="D207" t="s">
        <v>25</v>
      </c>
      <c r="E207" t="s">
        <v>82</v>
      </c>
      <c r="F207" t="s">
        <v>83</v>
      </c>
      <c r="G207" t="s">
        <v>41</v>
      </c>
      <c r="H207" t="s">
        <v>42</v>
      </c>
      <c r="I207" t="s">
        <v>23</v>
      </c>
      <c r="J207">
        <v>17</v>
      </c>
      <c r="K207">
        <v>436</v>
      </c>
      <c r="L207">
        <v>7412</v>
      </c>
    </row>
    <row r="208" spans="1:12">
      <c r="A208" t="s">
        <v>119</v>
      </c>
      <c r="B208" s="6">
        <v>46213</v>
      </c>
      <c r="C208" t="s">
        <v>18</v>
      </c>
      <c r="D208" t="s">
        <v>95</v>
      </c>
      <c r="E208" t="s">
        <v>19</v>
      </c>
      <c r="F208" t="s">
        <v>20</v>
      </c>
      <c r="G208" t="s">
        <v>21</v>
      </c>
      <c r="H208" t="s">
        <v>28</v>
      </c>
      <c r="I208" t="s">
        <v>23</v>
      </c>
      <c r="J208">
        <v>11</v>
      </c>
      <c r="K208">
        <v>288</v>
      </c>
      <c r="L208">
        <v>3168</v>
      </c>
    </row>
    <row r="209" spans="1:12">
      <c r="A209" t="s">
        <v>119</v>
      </c>
      <c r="B209" s="6">
        <v>46213</v>
      </c>
      <c r="C209" t="s">
        <v>88</v>
      </c>
      <c r="D209" t="s">
        <v>25</v>
      </c>
      <c r="E209" t="s">
        <v>301</v>
      </c>
      <c r="F209" t="s">
        <v>103</v>
      </c>
      <c r="G209" t="s">
        <v>14</v>
      </c>
      <c r="H209" t="s">
        <v>28</v>
      </c>
      <c r="I209" t="s">
        <v>23</v>
      </c>
      <c r="J209">
        <v>23</v>
      </c>
      <c r="K209">
        <v>274</v>
      </c>
      <c r="L209">
        <v>6302</v>
      </c>
    </row>
    <row r="210" spans="1:12">
      <c r="A210" t="s">
        <v>104</v>
      </c>
      <c r="B210" s="6">
        <v>46214</v>
      </c>
      <c r="C210" t="s">
        <v>18</v>
      </c>
      <c r="D210" t="s">
        <v>95</v>
      </c>
      <c r="E210" t="s">
        <v>105</v>
      </c>
      <c r="F210" t="s">
        <v>106</v>
      </c>
      <c r="G210" t="s">
        <v>50</v>
      </c>
      <c r="H210" t="s">
        <v>58</v>
      </c>
      <c r="I210" t="s">
        <v>23</v>
      </c>
      <c r="J210">
        <v>3</v>
      </c>
      <c r="K210">
        <v>453</v>
      </c>
      <c r="L210">
        <v>1359</v>
      </c>
    </row>
    <row r="211" spans="1:12">
      <c r="A211" t="s">
        <v>184</v>
      </c>
      <c r="B211" s="6">
        <v>46214</v>
      </c>
      <c r="C211" t="s">
        <v>120</v>
      </c>
      <c r="D211" t="s">
        <v>120</v>
      </c>
      <c r="E211" t="s">
        <v>185</v>
      </c>
      <c r="F211" t="s">
        <v>36</v>
      </c>
      <c r="G211" t="s">
        <v>50</v>
      </c>
      <c r="H211" t="s">
        <v>33</v>
      </c>
      <c r="I211" t="s">
        <v>23</v>
      </c>
      <c r="J211">
        <v>9</v>
      </c>
      <c r="K211">
        <v>383</v>
      </c>
      <c r="L211">
        <v>3447</v>
      </c>
    </row>
    <row r="212" spans="1:12">
      <c r="A212" t="s">
        <v>104</v>
      </c>
      <c r="B212" s="6">
        <v>46214</v>
      </c>
      <c r="C212" t="s">
        <v>52</v>
      </c>
      <c r="D212" t="s">
        <v>25</v>
      </c>
      <c r="E212" t="s">
        <v>76</v>
      </c>
      <c r="F212" t="s">
        <v>77</v>
      </c>
      <c r="G212" t="s">
        <v>41</v>
      </c>
      <c r="H212" t="s">
        <v>22</v>
      </c>
      <c r="I212" t="s">
        <v>23</v>
      </c>
      <c r="J212">
        <v>11</v>
      </c>
      <c r="K212">
        <v>416</v>
      </c>
      <c r="L212">
        <v>4576</v>
      </c>
    </row>
    <row r="213" spans="1:12">
      <c r="A213" t="s">
        <v>184</v>
      </c>
      <c r="B213" s="6">
        <v>46214</v>
      </c>
      <c r="C213" t="s">
        <v>108</v>
      </c>
      <c r="D213" t="s">
        <v>44</v>
      </c>
      <c r="E213" t="s">
        <v>31</v>
      </c>
      <c r="F213" t="s">
        <v>20</v>
      </c>
      <c r="G213" t="s">
        <v>32</v>
      </c>
      <c r="H213" t="s">
        <v>42</v>
      </c>
      <c r="I213" t="s">
        <v>23</v>
      </c>
      <c r="J213">
        <v>5</v>
      </c>
      <c r="K213">
        <v>418</v>
      </c>
      <c r="L213">
        <v>2090</v>
      </c>
    </row>
    <row r="214" spans="1:12">
      <c r="A214" t="s">
        <v>184</v>
      </c>
      <c r="B214" s="6">
        <v>46214</v>
      </c>
      <c r="C214" t="s">
        <v>38</v>
      </c>
      <c r="D214" t="s">
        <v>139</v>
      </c>
      <c r="E214" t="s">
        <v>114</v>
      </c>
      <c r="F214" t="s">
        <v>115</v>
      </c>
      <c r="G214" t="s">
        <v>41</v>
      </c>
      <c r="H214" t="s">
        <v>15</v>
      </c>
      <c r="I214" t="s">
        <v>16</v>
      </c>
      <c r="J214">
        <v>12</v>
      </c>
      <c r="K214">
        <v>762</v>
      </c>
      <c r="L214">
        <v>9144</v>
      </c>
    </row>
    <row r="215" spans="1:12">
      <c r="A215" t="s">
        <v>184</v>
      </c>
      <c r="B215" s="6">
        <v>46214</v>
      </c>
      <c r="C215" t="s">
        <v>18</v>
      </c>
      <c r="D215" t="s">
        <v>95</v>
      </c>
      <c r="E215" t="s">
        <v>217</v>
      </c>
      <c r="F215" t="s">
        <v>93</v>
      </c>
      <c r="G215" t="s">
        <v>14</v>
      </c>
      <c r="H215" t="s">
        <v>33</v>
      </c>
      <c r="I215" t="s">
        <v>23</v>
      </c>
      <c r="J215">
        <v>9</v>
      </c>
      <c r="K215">
        <v>384</v>
      </c>
      <c r="L215">
        <v>3456</v>
      </c>
    </row>
    <row r="216" spans="1:12">
      <c r="A216" t="s">
        <v>184</v>
      </c>
      <c r="B216" s="6">
        <v>46214</v>
      </c>
      <c r="C216" t="s">
        <v>11</v>
      </c>
      <c r="D216" t="s">
        <v>120</v>
      </c>
      <c r="E216" t="s">
        <v>125</v>
      </c>
      <c r="F216" t="s">
        <v>112</v>
      </c>
      <c r="G216" t="s">
        <v>32</v>
      </c>
      <c r="H216" t="s">
        <v>58</v>
      </c>
      <c r="I216" t="s">
        <v>23</v>
      </c>
      <c r="J216">
        <v>5</v>
      </c>
      <c r="K216">
        <v>472</v>
      </c>
      <c r="L216">
        <v>2360</v>
      </c>
    </row>
    <row r="217" spans="1:12">
      <c r="A217" t="s">
        <v>254</v>
      </c>
      <c r="B217" s="6">
        <v>46215</v>
      </c>
      <c r="C217" t="s">
        <v>139</v>
      </c>
      <c r="D217" t="s">
        <v>139</v>
      </c>
      <c r="E217" t="s">
        <v>255</v>
      </c>
      <c r="F217" t="s">
        <v>27</v>
      </c>
      <c r="G217" t="s">
        <v>41</v>
      </c>
      <c r="H217" t="s">
        <v>33</v>
      </c>
      <c r="I217" t="s">
        <v>23</v>
      </c>
      <c r="J217">
        <v>18</v>
      </c>
      <c r="K217">
        <v>404</v>
      </c>
      <c r="L217">
        <v>7272</v>
      </c>
    </row>
    <row r="218" spans="1:12">
      <c r="A218" t="s">
        <v>268</v>
      </c>
      <c r="B218" s="6">
        <v>46215</v>
      </c>
      <c r="C218" t="s">
        <v>25</v>
      </c>
      <c r="D218" t="s">
        <v>25</v>
      </c>
      <c r="E218" t="s">
        <v>82</v>
      </c>
      <c r="F218" t="s">
        <v>83</v>
      </c>
      <c r="G218" t="s">
        <v>41</v>
      </c>
      <c r="H218" t="s">
        <v>15</v>
      </c>
      <c r="I218" t="s">
        <v>16</v>
      </c>
      <c r="J218">
        <v>12</v>
      </c>
      <c r="K218">
        <v>765</v>
      </c>
      <c r="L218">
        <v>9180</v>
      </c>
    </row>
    <row r="219" spans="1:12">
      <c r="A219" t="s">
        <v>285</v>
      </c>
      <c r="B219" s="6">
        <v>46215</v>
      </c>
      <c r="C219" t="s">
        <v>11</v>
      </c>
      <c r="D219" t="s">
        <v>120</v>
      </c>
      <c r="E219" t="s">
        <v>121</v>
      </c>
      <c r="F219" t="s">
        <v>63</v>
      </c>
      <c r="G219" t="s">
        <v>14</v>
      </c>
      <c r="H219" t="s">
        <v>22</v>
      </c>
      <c r="I219" t="s">
        <v>23</v>
      </c>
      <c r="J219">
        <v>3</v>
      </c>
      <c r="K219">
        <v>404</v>
      </c>
      <c r="L219">
        <v>1212</v>
      </c>
    </row>
    <row r="220" spans="1:12">
      <c r="A220" t="s">
        <v>254</v>
      </c>
      <c r="B220" s="6">
        <v>46215</v>
      </c>
      <c r="C220" t="s">
        <v>11</v>
      </c>
      <c r="D220" t="s">
        <v>120</v>
      </c>
      <c r="E220" t="s">
        <v>185</v>
      </c>
      <c r="F220" t="s">
        <v>36</v>
      </c>
      <c r="G220" t="s">
        <v>50</v>
      </c>
      <c r="H220" t="s">
        <v>28</v>
      </c>
      <c r="I220" t="s">
        <v>23</v>
      </c>
      <c r="J220">
        <v>25</v>
      </c>
      <c r="K220">
        <v>274</v>
      </c>
      <c r="L220">
        <v>6850</v>
      </c>
    </row>
    <row r="221" spans="1:12">
      <c r="A221" t="s">
        <v>268</v>
      </c>
      <c r="B221" s="6">
        <v>46215</v>
      </c>
      <c r="C221" t="s">
        <v>88</v>
      </c>
      <c r="D221" t="s">
        <v>25</v>
      </c>
      <c r="E221" t="s">
        <v>102</v>
      </c>
      <c r="F221" t="s">
        <v>103</v>
      </c>
      <c r="G221" t="s">
        <v>14</v>
      </c>
      <c r="H221" t="s">
        <v>42</v>
      </c>
      <c r="I221" t="s">
        <v>23</v>
      </c>
      <c r="J221">
        <v>24</v>
      </c>
      <c r="K221">
        <v>413</v>
      </c>
      <c r="L221">
        <v>9912</v>
      </c>
    </row>
    <row r="222" spans="1:12">
      <c r="A222" t="s">
        <v>285</v>
      </c>
      <c r="B222" s="6">
        <v>46215</v>
      </c>
      <c r="C222" t="s">
        <v>30</v>
      </c>
      <c r="D222" t="s">
        <v>44</v>
      </c>
      <c r="E222" t="s">
        <v>147</v>
      </c>
      <c r="F222" t="s">
        <v>49</v>
      </c>
      <c r="G222" t="s">
        <v>21</v>
      </c>
      <c r="H222" t="s">
        <v>33</v>
      </c>
      <c r="I222" t="s">
        <v>23</v>
      </c>
      <c r="J222">
        <v>24</v>
      </c>
      <c r="K222">
        <v>397</v>
      </c>
      <c r="L222">
        <v>9528</v>
      </c>
    </row>
    <row r="223" spans="1:12">
      <c r="A223" t="s">
        <v>161</v>
      </c>
      <c r="B223" s="6">
        <v>46216</v>
      </c>
      <c r="C223" t="s">
        <v>95</v>
      </c>
      <c r="D223" t="s">
        <v>95</v>
      </c>
      <c r="E223" t="s">
        <v>19</v>
      </c>
      <c r="F223" t="s">
        <v>20</v>
      </c>
      <c r="G223" t="s">
        <v>21</v>
      </c>
      <c r="H223" t="s">
        <v>22</v>
      </c>
      <c r="I223" t="s">
        <v>23</v>
      </c>
      <c r="J223">
        <v>5</v>
      </c>
      <c r="K223">
        <v>395</v>
      </c>
      <c r="L223">
        <v>1975</v>
      </c>
    </row>
    <row r="224" spans="1:12">
      <c r="A224" t="s">
        <v>279</v>
      </c>
      <c r="B224" s="6">
        <v>46216</v>
      </c>
      <c r="C224" t="s">
        <v>120</v>
      </c>
      <c r="D224" t="s">
        <v>120</v>
      </c>
      <c r="E224" t="s">
        <v>188</v>
      </c>
      <c r="F224" t="s">
        <v>152</v>
      </c>
      <c r="G224" t="s">
        <v>21</v>
      </c>
      <c r="H224" t="s">
        <v>22</v>
      </c>
      <c r="I224" t="s">
        <v>23</v>
      </c>
      <c r="J224">
        <v>15</v>
      </c>
      <c r="K224">
        <v>396</v>
      </c>
      <c r="L224">
        <v>5940</v>
      </c>
    </row>
    <row r="225" spans="1:12">
      <c r="A225" t="s">
        <v>252</v>
      </c>
      <c r="B225" s="6">
        <v>46217</v>
      </c>
      <c r="C225" t="s">
        <v>139</v>
      </c>
      <c r="D225" t="s">
        <v>139</v>
      </c>
      <c r="E225" t="s">
        <v>253</v>
      </c>
      <c r="F225" t="s">
        <v>239</v>
      </c>
      <c r="G225" t="s">
        <v>21</v>
      </c>
      <c r="H225" t="s">
        <v>42</v>
      </c>
      <c r="I225" t="s">
        <v>23</v>
      </c>
      <c r="J225">
        <v>23</v>
      </c>
      <c r="K225">
        <v>431</v>
      </c>
      <c r="L225">
        <v>9913</v>
      </c>
    </row>
    <row r="226" spans="1:12">
      <c r="A226" t="s">
        <v>259</v>
      </c>
      <c r="B226" s="6">
        <v>46217</v>
      </c>
      <c r="C226" t="s">
        <v>25</v>
      </c>
      <c r="D226" t="s">
        <v>25</v>
      </c>
      <c r="E226" t="s">
        <v>241</v>
      </c>
      <c r="F226" t="s">
        <v>242</v>
      </c>
      <c r="G226" t="s">
        <v>14</v>
      </c>
      <c r="H226" t="s">
        <v>15</v>
      </c>
      <c r="I226" t="s">
        <v>16</v>
      </c>
      <c r="J226">
        <v>25</v>
      </c>
      <c r="K226">
        <v>744</v>
      </c>
      <c r="L226">
        <v>18600</v>
      </c>
    </row>
    <row r="227" spans="1:12">
      <c r="A227" t="s">
        <v>252</v>
      </c>
      <c r="B227" s="6">
        <v>46217</v>
      </c>
      <c r="C227" t="s">
        <v>120</v>
      </c>
      <c r="D227" t="s">
        <v>120</v>
      </c>
      <c r="E227" t="s">
        <v>149</v>
      </c>
      <c r="F227" t="s">
        <v>115</v>
      </c>
      <c r="G227" t="s">
        <v>50</v>
      </c>
      <c r="H227" t="s">
        <v>15</v>
      </c>
      <c r="I227" t="s">
        <v>16</v>
      </c>
      <c r="J227">
        <v>19</v>
      </c>
      <c r="K227">
        <v>745</v>
      </c>
      <c r="L227">
        <v>14155</v>
      </c>
    </row>
    <row r="228" spans="1:12">
      <c r="A228" t="s">
        <v>252</v>
      </c>
      <c r="B228" s="6">
        <v>46217</v>
      </c>
      <c r="C228" t="s">
        <v>120</v>
      </c>
      <c r="D228" t="s">
        <v>120</v>
      </c>
      <c r="E228" t="s">
        <v>92</v>
      </c>
      <c r="F228" t="s">
        <v>93</v>
      </c>
      <c r="G228" t="s">
        <v>14</v>
      </c>
      <c r="H228" t="s">
        <v>15</v>
      </c>
      <c r="I228" t="s">
        <v>16</v>
      </c>
      <c r="J228">
        <v>21</v>
      </c>
      <c r="K228">
        <v>765</v>
      </c>
      <c r="L228">
        <v>16065</v>
      </c>
    </row>
    <row r="229" spans="1:12">
      <c r="A229" t="s">
        <v>259</v>
      </c>
      <c r="B229" s="6">
        <v>46217</v>
      </c>
      <c r="C229" t="s">
        <v>11</v>
      </c>
      <c r="D229" t="s">
        <v>120</v>
      </c>
      <c r="E229" t="s">
        <v>308</v>
      </c>
      <c r="F229" t="s">
        <v>128</v>
      </c>
      <c r="G229" t="s">
        <v>14</v>
      </c>
      <c r="H229" t="s">
        <v>42</v>
      </c>
      <c r="I229" t="s">
        <v>23</v>
      </c>
      <c r="J229">
        <v>9</v>
      </c>
      <c r="K229">
        <v>434</v>
      </c>
      <c r="L229">
        <v>3906</v>
      </c>
    </row>
    <row r="230" spans="1:12">
      <c r="A230" t="s">
        <v>259</v>
      </c>
      <c r="B230" s="6">
        <v>46217</v>
      </c>
      <c r="C230" t="s">
        <v>18</v>
      </c>
      <c r="D230" t="s">
        <v>95</v>
      </c>
      <c r="E230" t="s">
        <v>134</v>
      </c>
      <c r="F230" t="s">
        <v>106</v>
      </c>
      <c r="G230" t="s">
        <v>41</v>
      </c>
      <c r="H230" t="s">
        <v>42</v>
      </c>
      <c r="I230" t="s">
        <v>23</v>
      </c>
      <c r="J230">
        <v>8</v>
      </c>
      <c r="K230">
        <v>422</v>
      </c>
      <c r="L230">
        <v>3376</v>
      </c>
    </row>
    <row r="231" spans="1:12">
      <c r="A231" t="s">
        <v>218</v>
      </c>
      <c r="B231" s="6">
        <v>46218</v>
      </c>
      <c r="C231" t="s">
        <v>108</v>
      </c>
      <c r="D231" t="s">
        <v>44</v>
      </c>
      <c r="E231" t="s">
        <v>147</v>
      </c>
      <c r="F231" t="s">
        <v>49</v>
      </c>
      <c r="G231" t="s">
        <v>21</v>
      </c>
      <c r="H231" t="s">
        <v>33</v>
      </c>
      <c r="I231" t="s">
        <v>23</v>
      </c>
      <c r="J231">
        <v>12</v>
      </c>
      <c r="K231">
        <v>401</v>
      </c>
      <c r="L231">
        <v>4812</v>
      </c>
    </row>
    <row r="232" spans="1:12">
      <c r="A232" t="s">
        <v>237</v>
      </c>
      <c r="B232" s="6">
        <v>46218</v>
      </c>
      <c r="C232" t="s">
        <v>52</v>
      </c>
      <c r="D232" t="s">
        <v>25</v>
      </c>
      <c r="E232" t="s">
        <v>238</v>
      </c>
      <c r="F232" t="s">
        <v>239</v>
      </c>
      <c r="G232" t="s">
        <v>14</v>
      </c>
      <c r="H232" t="s">
        <v>33</v>
      </c>
      <c r="I232" t="s">
        <v>23</v>
      </c>
      <c r="J232">
        <v>25</v>
      </c>
      <c r="K232">
        <v>396</v>
      </c>
      <c r="L232">
        <v>9900</v>
      </c>
    </row>
    <row r="233" spans="1:12">
      <c r="A233" t="s">
        <v>218</v>
      </c>
      <c r="B233" s="6">
        <v>46218</v>
      </c>
      <c r="C233" t="s">
        <v>110</v>
      </c>
      <c r="D233" t="s">
        <v>95</v>
      </c>
      <c r="E233" t="s">
        <v>134</v>
      </c>
      <c r="F233" t="s">
        <v>106</v>
      </c>
      <c r="G233" t="s">
        <v>41</v>
      </c>
      <c r="H233" t="s">
        <v>42</v>
      </c>
      <c r="I233" t="s">
        <v>23</v>
      </c>
      <c r="J233">
        <v>11</v>
      </c>
      <c r="K233">
        <v>428</v>
      </c>
      <c r="L233">
        <v>4708</v>
      </c>
    </row>
    <row r="234" spans="1:12">
      <c r="A234" t="s">
        <v>218</v>
      </c>
      <c r="B234" s="6">
        <v>46218</v>
      </c>
      <c r="C234" t="s">
        <v>110</v>
      </c>
      <c r="D234" t="s">
        <v>95</v>
      </c>
      <c r="E234" t="s">
        <v>220</v>
      </c>
      <c r="F234" t="s">
        <v>221</v>
      </c>
      <c r="G234" t="s">
        <v>21</v>
      </c>
      <c r="H234" t="s">
        <v>58</v>
      </c>
      <c r="I234" t="s">
        <v>23</v>
      </c>
      <c r="J234">
        <v>16</v>
      </c>
      <c r="K234">
        <v>459</v>
      </c>
      <c r="L234">
        <v>7344</v>
      </c>
    </row>
    <row r="235" spans="1:12">
      <c r="A235" t="s">
        <v>318</v>
      </c>
      <c r="B235" s="6">
        <v>46218</v>
      </c>
      <c r="C235" t="s">
        <v>120</v>
      </c>
      <c r="D235" t="s">
        <v>120</v>
      </c>
      <c r="E235" t="s">
        <v>149</v>
      </c>
      <c r="F235" t="s">
        <v>115</v>
      </c>
      <c r="G235" t="s">
        <v>50</v>
      </c>
      <c r="H235" t="s">
        <v>33</v>
      </c>
      <c r="I235" t="s">
        <v>23</v>
      </c>
      <c r="J235">
        <v>17</v>
      </c>
      <c r="K235">
        <v>408</v>
      </c>
      <c r="L235">
        <v>6936</v>
      </c>
    </row>
    <row r="236" spans="1:12">
      <c r="A236" t="s">
        <v>318</v>
      </c>
      <c r="B236" s="6">
        <v>46218</v>
      </c>
      <c r="C236" t="s">
        <v>52</v>
      </c>
      <c r="D236" t="s">
        <v>25</v>
      </c>
      <c r="E236" t="s">
        <v>142</v>
      </c>
      <c r="F236" t="s">
        <v>137</v>
      </c>
      <c r="G236" t="s">
        <v>41</v>
      </c>
      <c r="H236" t="s">
        <v>33</v>
      </c>
      <c r="I236" t="s">
        <v>23</v>
      </c>
      <c r="J236">
        <v>1</v>
      </c>
      <c r="K236">
        <v>380</v>
      </c>
      <c r="L236">
        <v>380</v>
      </c>
    </row>
    <row r="237" spans="1:12">
      <c r="A237" t="s">
        <v>55</v>
      </c>
      <c r="B237" s="6">
        <v>46219</v>
      </c>
      <c r="C237" t="s">
        <v>11</v>
      </c>
      <c r="D237" t="s">
        <v>120</v>
      </c>
      <c r="E237" t="s">
        <v>56</v>
      </c>
      <c r="F237" t="s">
        <v>57</v>
      </c>
      <c r="G237" t="s">
        <v>32</v>
      </c>
      <c r="H237" t="s">
        <v>58</v>
      </c>
      <c r="I237" t="s">
        <v>23</v>
      </c>
      <c r="J237">
        <v>16</v>
      </c>
      <c r="K237">
        <v>475</v>
      </c>
      <c r="L237">
        <v>7600</v>
      </c>
    </row>
    <row r="238" spans="1:12">
      <c r="A238" t="s">
        <v>55</v>
      </c>
      <c r="B238" s="6">
        <v>46219</v>
      </c>
      <c r="C238" t="s">
        <v>110</v>
      </c>
      <c r="D238" t="s">
        <v>95</v>
      </c>
      <c r="E238" t="s">
        <v>111</v>
      </c>
      <c r="F238" t="s">
        <v>112</v>
      </c>
      <c r="G238" t="s">
        <v>50</v>
      </c>
      <c r="H238" t="s">
        <v>15</v>
      </c>
      <c r="I238" t="s">
        <v>16</v>
      </c>
      <c r="J238">
        <v>22</v>
      </c>
      <c r="K238">
        <v>742</v>
      </c>
      <c r="L238">
        <v>16324</v>
      </c>
    </row>
    <row r="239" spans="1:12">
      <c r="A239" t="s">
        <v>55</v>
      </c>
      <c r="B239" s="6">
        <v>46219</v>
      </c>
      <c r="C239" t="s">
        <v>38</v>
      </c>
      <c r="D239" t="s">
        <v>139</v>
      </c>
      <c r="E239" t="s">
        <v>114</v>
      </c>
      <c r="F239" t="s">
        <v>115</v>
      </c>
      <c r="G239" t="s">
        <v>41</v>
      </c>
      <c r="H239" t="s">
        <v>22</v>
      </c>
      <c r="I239" t="s">
        <v>23</v>
      </c>
      <c r="J239">
        <v>13</v>
      </c>
      <c r="K239">
        <v>400</v>
      </c>
      <c r="L239">
        <v>5200</v>
      </c>
    </row>
    <row r="240" spans="1:12">
      <c r="A240" t="s">
        <v>248</v>
      </c>
      <c r="B240" s="6">
        <v>46219</v>
      </c>
      <c r="C240" t="s">
        <v>139</v>
      </c>
      <c r="D240" t="s">
        <v>139</v>
      </c>
      <c r="E240" t="s">
        <v>249</v>
      </c>
      <c r="F240" t="s">
        <v>106</v>
      </c>
      <c r="G240" t="s">
        <v>41</v>
      </c>
      <c r="H240" t="s">
        <v>58</v>
      </c>
      <c r="I240" t="s">
        <v>23</v>
      </c>
      <c r="K240">
        <v>462</v>
      </c>
    </row>
    <row r="241" spans="1:12">
      <c r="A241" t="s">
        <v>283</v>
      </c>
      <c r="B241" s="6">
        <v>46219</v>
      </c>
      <c r="C241" t="s">
        <v>110</v>
      </c>
      <c r="D241" t="s">
        <v>95</v>
      </c>
      <c r="E241" t="s">
        <v>228</v>
      </c>
      <c r="F241" t="s">
        <v>164</v>
      </c>
      <c r="G241" t="s">
        <v>41</v>
      </c>
      <c r="H241" t="s">
        <v>22</v>
      </c>
      <c r="I241" t="s">
        <v>23</v>
      </c>
      <c r="J241">
        <v>4</v>
      </c>
      <c r="K241">
        <v>412</v>
      </c>
      <c r="L241">
        <v>1648</v>
      </c>
    </row>
    <row r="242" spans="1:12">
      <c r="A242" t="s">
        <v>283</v>
      </c>
      <c r="B242" s="6">
        <v>46219</v>
      </c>
      <c r="C242" t="s">
        <v>11</v>
      </c>
      <c r="D242" t="s">
        <v>120</v>
      </c>
      <c r="E242" t="s">
        <v>284</v>
      </c>
      <c r="F242" t="s">
        <v>66</v>
      </c>
      <c r="G242" t="s">
        <v>14</v>
      </c>
      <c r="H242" t="s">
        <v>28</v>
      </c>
      <c r="I242" t="s">
        <v>23</v>
      </c>
      <c r="J242">
        <v>3</v>
      </c>
      <c r="K242">
        <v>286</v>
      </c>
      <c r="L242">
        <v>858</v>
      </c>
    </row>
    <row r="243" spans="1:12">
      <c r="A243" t="s">
        <v>55</v>
      </c>
      <c r="B243" s="6">
        <v>46219</v>
      </c>
      <c r="C243" t="s">
        <v>18</v>
      </c>
      <c r="D243" t="s">
        <v>95</v>
      </c>
      <c r="E243" t="s">
        <v>117</v>
      </c>
      <c r="F243" t="s">
        <v>118</v>
      </c>
      <c r="G243" t="s">
        <v>21</v>
      </c>
      <c r="H243" t="s">
        <v>42</v>
      </c>
      <c r="I243" t="s">
        <v>23</v>
      </c>
      <c r="J243">
        <v>14</v>
      </c>
      <c r="K243">
        <v>422</v>
      </c>
      <c r="L243">
        <v>5908</v>
      </c>
    </row>
    <row r="244" spans="1:12">
      <c r="A244" t="s">
        <v>201</v>
      </c>
      <c r="B244" s="6">
        <v>46220</v>
      </c>
      <c r="C244" t="s">
        <v>95</v>
      </c>
      <c r="D244" t="s">
        <v>95</v>
      </c>
      <c r="E244" t="s">
        <v>19</v>
      </c>
      <c r="F244" t="s">
        <v>20</v>
      </c>
      <c r="G244" t="s">
        <v>21</v>
      </c>
      <c r="H244" t="s">
        <v>22</v>
      </c>
      <c r="I244" t="s">
        <v>23</v>
      </c>
      <c r="J244">
        <v>13</v>
      </c>
      <c r="K244">
        <v>405</v>
      </c>
      <c r="L244">
        <v>5265</v>
      </c>
    </row>
    <row r="245" spans="1:12">
      <c r="A245" t="s">
        <v>201</v>
      </c>
      <c r="B245" s="6">
        <v>46220</v>
      </c>
      <c r="C245" t="s">
        <v>95</v>
      </c>
      <c r="D245" t="s">
        <v>95</v>
      </c>
      <c r="E245" t="s">
        <v>19</v>
      </c>
      <c r="F245" t="s">
        <v>20</v>
      </c>
      <c r="G245" t="s">
        <v>21</v>
      </c>
      <c r="H245" t="s">
        <v>22</v>
      </c>
      <c r="I245" t="s">
        <v>23</v>
      </c>
      <c r="J245">
        <v>13</v>
      </c>
      <c r="K245">
        <v>405</v>
      </c>
      <c r="L245">
        <v>5265</v>
      </c>
    </row>
    <row r="246" spans="1:12">
      <c r="A246" t="s">
        <v>304</v>
      </c>
      <c r="B246" s="6">
        <v>46220</v>
      </c>
      <c r="C246" t="s">
        <v>38</v>
      </c>
      <c r="D246" t="s">
        <v>139</v>
      </c>
      <c r="E246" t="s">
        <v>166</v>
      </c>
      <c r="F246" t="s">
        <v>106</v>
      </c>
      <c r="G246" t="s">
        <v>14</v>
      </c>
      <c r="H246" t="s">
        <v>58</v>
      </c>
      <c r="I246" t="s">
        <v>23</v>
      </c>
      <c r="J246">
        <v>24</v>
      </c>
      <c r="K246">
        <v>476</v>
      </c>
      <c r="L246">
        <v>11424</v>
      </c>
    </row>
    <row r="247" spans="1:12">
      <c r="A247" t="s">
        <v>201</v>
      </c>
      <c r="B247" s="6">
        <v>46220</v>
      </c>
      <c r="C247" t="s">
        <v>108</v>
      </c>
      <c r="D247" t="s">
        <v>44</v>
      </c>
      <c r="E247" t="s">
        <v>31</v>
      </c>
      <c r="F247" t="s">
        <v>20</v>
      </c>
      <c r="G247" t="s">
        <v>32</v>
      </c>
      <c r="H247" t="s">
        <v>33</v>
      </c>
      <c r="I247" t="s">
        <v>23</v>
      </c>
      <c r="J247">
        <v>20</v>
      </c>
      <c r="K247">
        <v>405</v>
      </c>
      <c r="L247">
        <v>8100</v>
      </c>
    </row>
    <row r="248" spans="1:12">
      <c r="A248" t="s">
        <v>201</v>
      </c>
      <c r="B248" s="6">
        <v>46220</v>
      </c>
      <c r="C248" t="s">
        <v>120</v>
      </c>
      <c r="D248" t="s">
        <v>120</v>
      </c>
      <c r="E248" t="s">
        <v>315</v>
      </c>
      <c r="F248" t="s">
        <v>63</v>
      </c>
      <c r="G248" t="s">
        <v>14</v>
      </c>
      <c r="H248" t="s">
        <v>42</v>
      </c>
      <c r="I248" t="s">
        <v>23</v>
      </c>
      <c r="J248">
        <v>10</v>
      </c>
      <c r="K248">
        <v>420</v>
      </c>
      <c r="L248">
        <v>4200</v>
      </c>
    </row>
    <row r="249" spans="1:12">
      <c r="A249" t="s">
        <v>182</v>
      </c>
      <c r="B249" s="6">
        <v>46221</v>
      </c>
      <c r="C249" t="s">
        <v>18</v>
      </c>
      <c r="D249" t="s">
        <v>95</v>
      </c>
      <c r="E249" t="s">
        <v>144</v>
      </c>
      <c r="F249" t="s">
        <v>118</v>
      </c>
      <c r="G249" t="s">
        <v>50</v>
      </c>
      <c r="H249" t="s">
        <v>15</v>
      </c>
      <c r="I249" t="s">
        <v>16</v>
      </c>
      <c r="J249">
        <v>2</v>
      </c>
      <c r="K249">
        <v>760</v>
      </c>
      <c r="L249">
        <v>1520</v>
      </c>
    </row>
    <row r="250" spans="1:12">
      <c r="A250" t="s">
        <v>187</v>
      </c>
      <c r="B250" s="6">
        <v>46221</v>
      </c>
      <c r="C250" t="s">
        <v>120</v>
      </c>
      <c r="D250" t="s">
        <v>120</v>
      </c>
      <c r="E250" t="s">
        <v>188</v>
      </c>
      <c r="F250" t="s">
        <v>152</v>
      </c>
      <c r="G250" t="s">
        <v>21</v>
      </c>
      <c r="H250" t="s">
        <v>22</v>
      </c>
      <c r="I250" t="s">
        <v>23</v>
      </c>
      <c r="J250">
        <v>21</v>
      </c>
      <c r="K250">
        <v>410</v>
      </c>
      <c r="L250">
        <v>8610</v>
      </c>
    </row>
    <row r="251" spans="1:12">
      <c r="A251" t="s">
        <v>182</v>
      </c>
      <c r="B251" s="6">
        <v>46221</v>
      </c>
      <c r="C251" t="s">
        <v>120</v>
      </c>
      <c r="D251" t="s">
        <v>120</v>
      </c>
      <c r="E251" t="s">
        <v>149</v>
      </c>
      <c r="F251" t="s">
        <v>115</v>
      </c>
      <c r="G251" t="s">
        <v>50</v>
      </c>
      <c r="H251" t="s">
        <v>28</v>
      </c>
      <c r="I251" t="s">
        <v>23</v>
      </c>
      <c r="J251">
        <v>12</v>
      </c>
      <c r="K251">
        <v>287</v>
      </c>
      <c r="L251">
        <v>3444</v>
      </c>
    </row>
    <row r="252" spans="1:12">
      <c r="A252" t="s">
        <v>107</v>
      </c>
      <c r="B252" s="6">
        <v>46222</v>
      </c>
      <c r="C252" t="s">
        <v>108</v>
      </c>
      <c r="D252" t="s">
        <v>44</v>
      </c>
      <c r="E252" t="s">
        <v>48</v>
      </c>
      <c r="F252" t="s">
        <v>49</v>
      </c>
      <c r="G252" t="s">
        <v>50</v>
      </c>
      <c r="H252" t="s">
        <v>42</v>
      </c>
      <c r="I252" t="s">
        <v>23</v>
      </c>
      <c r="J252">
        <v>24</v>
      </c>
      <c r="K252">
        <v>439</v>
      </c>
      <c r="L252">
        <v>10536</v>
      </c>
    </row>
    <row r="253" spans="1:12">
      <c r="A253" t="s">
        <v>107</v>
      </c>
      <c r="B253" s="6">
        <v>46222</v>
      </c>
      <c r="C253" t="s">
        <v>38</v>
      </c>
      <c r="D253" t="s">
        <v>139</v>
      </c>
      <c r="E253" t="s">
        <v>270</v>
      </c>
      <c r="F253" t="s">
        <v>160</v>
      </c>
      <c r="G253" t="s">
        <v>50</v>
      </c>
      <c r="H253" t="s">
        <v>22</v>
      </c>
      <c r="I253" t="s">
        <v>23</v>
      </c>
      <c r="J253">
        <v>16</v>
      </c>
      <c r="K253">
        <v>406</v>
      </c>
      <c r="L253">
        <v>6496</v>
      </c>
    </row>
    <row r="254" spans="1:12">
      <c r="A254" t="s">
        <v>75</v>
      </c>
      <c r="B254" s="6">
        <v>46223</v>
      </c>
      <c r="C254" t="s">
        <v>52</v>
      </c>
      <c r="D254" t="s">
        <v>25</v>
      </c>
      <c r="E254" t="s">
        <v>76</v>
      </c>
      <c r="F254" t="s">
        <v>77</v>
      </c>
      <c r="G254" t="s">
        <v>41</v>
      </c>
      <c r="H254" t="s">
        <v>15</v>
      </c>
      <c r="I254" t="s">
        <v>16</v>
      </c>
      <c r="J254">
        <v>12</v>
      </c>
      <c r="K254">
        <v>744</v>
      </c>
      <c r="L254">
        <v>8928</v>
      </c>
    </row>
    <row r="255" spans="1:12">
      <c r="A255" t="s">
        <v>245</v>
      </c>
      <c r="B255" s="6">
        <v>46223</v>
      </c>
      <c r="C255" t="s">
        <v>73</v>
      </c>
      <c r="D255" t="s">
        <v>44</v>
      </c>
      <c r="E255" t="s">
        <v>147</v>
      </c>
      <c r="F255" t="s">
        <v>49</v>
      </c>
      <c r="G255" t="s">
        <v>21</v>
      </c>
      <c r="H255" t="s">
        <v>33</v>
      </c>
      <c r="I255" t="s">
        <v>23</v>
      </c>
      <c r="J255">
        <v>9</v>
      </c>
      <c r="K255">
        <v>391</v>
      </c>
      <c r="L255">
        <v>3519</v>
      </c>
    </row>
    <row r="256" spans="1:12">
      <c r="A256" t="s">
        <v>269</v>
      </c>
      <c r="B256" s="6">
        <v>46223</v>
      </c>
      <c r="C256" t="s">
        <v>38</v>
      </c>
      <c r="D256" t="s">
        <v>139</v>
      </c>
      <c r="E256" t="s">
        <v>270</v>
      </c>
      <c r="F256" t="s">
        <v>160</v>
      </c>
      <c r="G256" t="s">
        <v>50</v>
      </c>
      <c r="H256" t="s">
        <v>33</v>
      </c>
      <c r="I256" t="s">
        <v>23</v>
      </c>
      <c r="J256">
        <v>10</v>
      </c>
      <c r="K256">
        <v>396</v>
      </c>
      <c r="L256">
        <v>3960</v>
      </c>
    </row>
    <row r="257" spans="1:12">
      <c r="A257" t="s">
        <v>269</v>
      </c>
      <c r="B257" s="6">
        <v>46223</v>
      </c>
      <c r="C257" t="s">
        <v>38</v>
      </c>
      <c r="D257" t="s">
        <v>139</v>
      </c>
      <c r="E257" t="s">
        <v>140</v>
      </c>
      <c r="F257" t="s">
        <v>118</v>
      </c>
      <c r="G257" t="s">
        <v>50</v>
      </c>
      <c r="H257" t="s">
        <v>58</v>
      </c>
      <c r="I257" t="s">
        <v>23</v>
      </c>
      <c r="J257">
        <v>13</v>
      </c>
      <c r="K257">
        <v>466</v>
      </c>
      <c r="L257">
        <v>6058</v>
      </c>
    </row>
    <row r="258" spans="1:12">
      <c r="A258" t="s">
        <v>269</v>
      </c>
      <c r="B258" s="6">
        <v>46223</v>
      </c>
      <c r="C258" t="s">
        <v>139</v>
      </c>
      <c r="D258" t="s">
        <v>139</v>
      </c>
      <c r="E258" t="s">
        <v>255</v>
      </c>
      <c r="F258" t="s">
        <v>27</v>
      </c>
      <c r="G258" t="s">
        <v>41</v>
      </c>
      <c r="H258" t="s">
        <v>58</v>
      </c>
      <c r="I258" t="s">
        <v>23</v>
      </c>
      <c r="J258">
        <v>13</v>
      </c>
      <c r="K258">
        <v>451</v>
      </c>
      <c r="L258">
        <v>5863</v>
      </c>
    </row>
    <row r="259" spans="1:12">
      <c r="A259" t="s">
        <v>29</v>
      </c>
      <c r="B259" s="6">
        <v>46224</v>
      </c>
      <c r="C259" t="s">
        <v>30</v>
      </c>
      <c r="D259" t="s">
        <v>44</v>
      </c>
      <c r="E259" t="s">
        <v>31</v>
      </c>
      <c r="F259" t="s">
        <v>20</v>
      </c>
      <c r="G259" t="s">
        <v>32</v>
      </c>
      <c r="H259" t="s">
        <v>33</v>
      </c>
      <c r="I259" t="s">
        <v>23</v>
      </c>
      <c r="J259">
        <v>2</v>
      </c>
      <c r="K259">
        <v>407</v>
      </c>
      <c r="L259">
        <v>814</v>
      </c>
    </row>
    <row r="260" spans="1:12">
      <c r="A260" t="s">
        <v>101</v>
      </c>
      <c r="B260" s="6">
        <v>46224</v>
      </c>
      <c r="C260" t="s">
        <v>52</v>
      </c>
      <c r="D260" t="s">
        <v>25</v>
      </c>
      <c r="E260" t="s">
        <v>102</v>
      </c>
      <c r="F260" t="s">
        <v>103</v>
      </c>
      <c r="G260" t="s">
        <v>14</v>
      </c>
      <c r="H260" t="s">
        <v>42</v>
      </c>
      <c r="I260" t="s">
        <v>23</v>
      </c>
      <c r="J260">
        <v>12</v>
      </c>
      <c r="K260">
        <v>410</v>
      </c>
      <c r="L260">
        <v>4920</v>
      </c>
    </row>
    <row r="261" spans="1:12">
      <c r="A261" t="s">
        <v>101</v>
      </c>
      <c r="B261" s="6">
        <v>46224</v>
      </c>
      <c r="C261" t="s">
        <v>110</v>
      </c>
      <c r="D261" t="s">
        <v>95</v>
      </c>
      <c r="E261" t="s">
        <v>134</v>
      </c>
      <c r="F261" t="s">
        <v>106</v>
      </c>
      <c r="G261" t="s">
        <v>41</v>
      </c>
      <c r="H261" t="s">
        <v>22</v>
      </c>
      <c r="I261" t="s">
        <v>23</v>
      </c>
      <c r="J261">
        <v>10</v>
      </c>
      <c r="K261">
        <v>395</v>
      </c>
      <c r="L261">
        <v>3950</v>
      </c>
    </row>
    <row r="262" spans="1:12">
      <c r="A262" t="s">
        <v>29</v>
      </c>
      <c r="B262" s="6">
        <v>46224</v>
      </c>
      <c r="C262" t="s">
        <v>110</v>
      </c>
      <c r="D262" t="s">
        <v>95</v>
      </c>
      <c r="E262" t="s">
        <v>144</v>
      </c>
      <c r="F262" t="s">
        <v>118</v>
      </c>
      <c r="G262" t="s">
        <v>50</v>
      </c>
      <c r="H262" t="s">
        <v>42</v>
      </c>
      <c r="I262" t="s">
        <v>23</v>
      </c>
      <c r="J262">
        <v>20</v>
      </c>
      <c r="K262">
        <v>422</v>
      </c>
      <c r="L262">
        <v>8440</v>
      </c>
    </row>
    <row r="263" spans="1:12">
      <c r="A263" t="s">
        <v>267</v>
      </c>
      <c r="B263" s="6">
        <v>46224</v>
      </c>
      <c r="C263" t="s">
        <v>110</v>
      </c>
      <c r="D263" t="s">
        <v>95</v>
      </c>
      <c r="E263" t="s">
        <v>220</v>
      </c>
      <c r="F263" t="s">
        <v>221</v>
      </c>
      <c r="G263" t="s">
        <v>21</v>
      </c>
      <c r="H263" t="s">
        <v>22</v>
      </c>
      <c r="I263" t="s">
        <v>23</v>
      </c>
      <c r="J263">
        <v>11</v>
      </c>
      <c r="K263">
        <v>415</v>
      </c>
      <c r="L263">
        <v>4565</v>
      </c>
    </row>
    <row r="264" spans="1:12">
      <c r="A264" t="s">
        <v>29</v>
      </c>
      <c r="B264" s="6">
        <v>46224</v>
      </c>
      <c r="C264" t="s">
        <v>38</v>
      </c>
      <c r="D264" t="s">
        <v>139</v>
      </c>
      <c r="E264" t="s">
        <v>253</v>
      </c>
      <c r="F264" t="s">
        <v>239</v>
      </c>
      <c r="G264" t="s">
        <v>21</v>
      </c>
      <c r="H264" t="s">
        <v>33</v>
      </c>
      <c r="I264" t="s">
        <v>23</v>
      </c>
      <c r="J264">
        <v>25</v>
      </c>
      <c r="K264">
        <v>390</v>
      </c>
      <c r="L264">
        <v>9750</v>
      </c>
    </row>
    <row r="265" spans="1:12">
      <c r="A265" t="s">
        <v>226</v>
      </c>
      <c r="B265" s="6">
        <v>46225</v>
      </c>
      <c r="C265" t="s">
        <v>44</v>
      </c>
      <c r="D265" t="s">
        <v>44</v>
      </c>
      <c r="E265" t="s">
        <v>31</v>
      </c>
      <c r="F265" t="s">
        <v>20</v>
      </c>
      <c r="G265" t="s">
        <v>32</v>
      </c>
      <c r="H265" t="s">
        <v>33</v>
      </c>
      <c r="I265" t="s">
        <v>23</v>
      </c>
      <c r="J265">
        <v>16</v>
      </c>
      <c r="K265">
        <v>394</v>
      </c>
      <c r="L265">
        <v>6304</v>
      </c>
    </row>
    <row r="266" spans="1:12">
      <c r="A266" t="s">
        <v>232</v>
      </c>
      <c r="B266" s="6">
        <v>46225</v>
      </c>
      <c r="C266" t="s">
        <v>120</v>
      </c>
      <c r="D266" t="s">
        <v>120</v>
      </c>
      <c r="E266" t="s">
        <v>92</v>
      </c>
      <c r="F266" t="s">
        <v>93</v>
      </c>
      <c r="G266" t="s">
        <v>14</v>
      </c>
      <c r="H266" t="s">
        <v>42</v>
      </c>
      <c r="I266" t="s">
        <v>23</v>
      </c>
      <c r="J266">
        <v>13</v>
      </c>
      <c r="K266">
        <v>435</v>
      </c>
      <c r="L266">
        <v>5655</v>
      </c>
    </row>
    <row r="267" spans="1:12">
      <c r="A267" t="s">
        <v>232</v>
      </c>
      <c r="B267" s="6">
        <v>46225</v>
      </c>
      <c r="C267" t="s">
        <v>52</v>
      </c>
      <c r="D267" t="s">
        <v>25</v>
      </c>
      <c r="E267" t="s">
        <v>243</v>
      </c>
      <c r="F267" t="s">
        <v>244</v>
      </c>
      <c r="G267" t="s">
        <v>21</v>
      </c>
      <c r="H267" t="s">
        <v>28</v>
      </c>
      <c r="I267" t="s">
        <v>23</v>
      </c>
      <c r="J267">
        <v>8</v>
      </c>
      <c r="K267">
        <v>289</v>
      </c>
      <c r="L267">
        <v>2312</v>
      </c>
    </row>
    <row r="268" spans="1:12">
      <c r="A268" t="s">
        <v>91</v>
      </c>
      <c r="B268" s="6">
        <v>46226</v>
      </c>
      <c r="C268" t="s">
        <v>11</v>
      </c>
      <c r="D268" t="s">
        <v>120</v>
      </c>
      <c r="E268" t="s">
        <v>92</v>
      </c>
      <c r="F268" t="s">
        <v>93</v>
      </c>
      <c r="G268" t="s">
        <v>14</v>
      </c>
      <c r="H268" t="s">
        <v>58</v>
      </c>
      <c r="I268" t="s">
        <v>23</v>
      </c>
      <c r="J268">
        <v>12</v>
      </c>
      <c r="K268">
        <v>473</v>
      </c>
      <c r="L268">
        <v>5676</v>
      </c>
    </row>
    <row r="269" spans="1:12">
      <c r="A269" t="s">
        <v>91</v>
      </c>
      <c r="B269" s="6">
        <v>46226</v>
      </c>
      <c r="C269" t="s">
        <v>38</v>
      </c>
      <c r="D269" t="s">
        <v>139</v>
      </c>
      <c r="E269" t="s">
        <v>240</v>
      </c>
      <c r="F269" t="s">
        <v>239</v>
      </c>
      <c r="G269" t="s">
        <v>21</v>
      </c>
      <c r="H269" t="s">
        <v>22</v>
      </c>
      <c r="I269" t="s">
        <v>23</v>
      </c>
      <c r="J269">
        <v>11</v>
      </c>
      <c r="K269">
        <v>412</v>
      </c>
      <c r="L269">
        <v>4532</v>
      </c>
    </row>
    <row r="270" spans="1:12">
      <c r="A270" t="s">
        <v>323</v>
      </c>
      <c r="B270" s="6">
        <v>46226</v>
      </c>
      <c r="C270" t="s">
        <v>38</v>
      </c>
      <c r="D270" t="s">
        <v>139</v>
      </c>
      <c r="E270" t="s">
        <v>114</v>
      </c>
      <c r="F270" t="s">
        <v>115</v>
      </c>
      <c r="G270" t="s">
        <v>41</v>
      </c>
      <c r="H270" t="s">
        <v>33</v>
      </c>
      <c r="I270" t="s">
        <v>23</v>
      </c>
      <c r="J270">
        <v>14</v>
      </c>
      <c r="K270">
        <v>399</v>
      </c>
      <c r="L270">
        <v>5586</v>
      </c>
    </row>
    <row r="271" spans="1:12">
      <c r="A271" t="s">
        <v>91</v>
      </c>
      <c r="B271" s="6">
        <v>46226</v>
      </c>
      <c r="C271" t="s">
        <v>139</v>
      </c>
      <c r="D271" t="s">
        <v>139</v>
      </c>
      <c r="E271" t="s">
        <v>255</v>
      </c>
      <c r="F271" t="s">
        <v>27</v>
      </c>
      <c r="G271" t="s">
        <v>41</v>
      </c>
      <c r="H271" t="s">
        <v>58</v>
      </c>
      <c r="I271" t="s">
        <v>23</v>
      </c>
      <c r="J271">
        <v>16</v>
      </c>
      <c r="K271">
        <v>454</v>
      </c>
      <c r="L271">
        <v>7264</v>
      </c>
    </row>
    <row r="272" spans="1:12">
      <c r="A272" t="s">
        <v>113</v>
      </c>
      <c r="B272" s="6">
        <v>46227</v>
      </c>
      <c r="C272" t="s">
        <v>38</v>
      </c>
      <c r="D272" t="s">
        <v>139</v>
      </c>
      <c r="E272" t="s">
        <v>114</v>
      </c>
      <c r="F272" t="s">
        <v>115</v>
      </c>
      <c r="G272" t="s">
        <v>41</v>
      </c>
      <c r="H272" t="s">
        <v>22</v>
      </c>
      <c r="I272" t="s">
        <v>23</v>
      </c>
      <c r="J272">
        <v>23</v>
      </c>
      <c r="K272">
        <v>401</v>
      </c>
      <c r="L272">
        <v>9223</v>
      </c>
    </row>
    <row r="273" spans="1:12">
      <c r="A273" t="s">
        <v>146</v>
      </c>
      <c r="B273" s="6">
        <v>46227</v>
      </c>
      <c r="C273" t="s">
        <v>44</v>
      </c>
      <c r="D273" t="s">
        <v>44</v>
      </c>
      <c r="E273" t="s">
        <v>147</v>
      </c>
      <c r="F273" t="s">
        <v>49</v>
      </c>
      <c r="G273" t="s">
        <v>21</v>
      </c>
      <c r="H273" t="s">
        <v>15</v>
      </c>
      <c r="I273" t="s">
        <v>16</v>
      </c>
      <c r="J273">
        <v>5</v>
      </c>
      <c r="K273">
        <v>755</v>
      </c>
      <c r="L273">
        <v>3775</v>
      </c>
    </row>
    <row r="274" spans="1:12">
      <c r="A274" t="s">
        <v>146</v>
      </c>
      <c r="B274" s="6">
        <v>46227</v>
      </c>
      <c r="C274" t="s">
        <v>38</v>
      </c>
      <c r="D274" t="s">
        <v>139</v>
      </c>
      <c r="E274" t="s">
        <v>193</v>
      </c>
      <c r="F274" t="s">
        <v>118</v>
      </c>
      <c r="G274" t="s">
        <v>14</v>
      </c>
      <c r="H274" t="s">
        <v>15</v>
      </c>
      <c r="I274" t="s">
        <v>16</v>
      </c>
      <c r="J274">
        <v>2</v>
      </c>
      <c r="K274">
        <v>740</v>
      </c>
      <c r="L274">
        <v>1480</v>
      </c>
    </row>
    <row r="275" spans="1:12">
      <c r="A275" t="s">
        <v>113</v>
      </c>
      <c r="B275" s="6">
        <v>46227</v>
      </c>
      <c r="C275" t="s">
        <v>44</v>
      </c>
      <c r="D275" t="s">
        <v>44</v>
      </c>
      <c r="E275" t="s">
        <v>31</v>
      </c>
      <c r="F275" t="s">
        <v>20</v>
      </c>
      <c r="G275" t="s">
        <v>32</v>
      </c>
      <c r="H275" t="s">
        <v>42</v>
      </c>
      <c r="I275" t="s">
        <v>23</v>
      </c>
      <c r="J275">
        <v>16</v>
      </c>
      <c r="K275">
        <v>421</v>
      </c>
      <c r="L275">
        <v>6736</v>
      </c>
    </row>
    <row r="276" spans="1:12">
      <c r="A276" t="s">
        <v>146</v>
      </c>
      <c r="B276" s="6">
        <v>46227</v>
      </c>
      <c r="C276" t="s">
        <v>108</v>
      </c>
      <c r="D276" t="s">
        <v>44</v>
      </c>
      <c r="E276" t="s">
        <v>263</v>
      </c>
      <c r="F276" t="s">
        <v>100</v>
      </c>
      <c r="G276" t="s">
        <v>21</v>
      </c>
      <c r="H276" t="s">
        <v>22</v>
      </c>
      <c r="I276" t="s">
        <v>23</v>
      </c>
      <c r="J276">
        <v>13</v>
      </c>
      <c r="K276">
        <v>420</v>
      </c>
      <c r="L276">
        <v>5460</v>
      </c>
    </row>
    <row r="277" spans="1:12">
      <c r="A277" t="s">
        <v>305</v>
      </c>
      <c r="B277" s="6">
        <v>46227</v>
      </c>
      <c r="C277" t="s">
        <v>139</v>
      </c>
      <c r="D277" t="s">
        <v>139</v>
      </c>
      <c r="E277" t="s">
        <v>140</v>
      </c>
      <c r="F277" t="s">
        <v>118</v>
      </c>
      <c r="G277" t="s">
        <v>50</v>
      </c>
      <c r="H277" t="s">
        <v>42</v>
      </c>
      <c r="I277" t="s">
        <v>23</v>
      </c>
      <c r="J277">
        <v>10</v>
      </c>
      <c r="K277">
        <v>434</v>
      </c>
      <c r="L277">
        <v>4340</v>
      </c>
    </row>
    <row r="278" spans="1:12">
      <c r="A278" t="s">
        <v>305</v>
      </c>
      <c r="B278" s="6">
        <v>46227</v>
      </c>
      <c r="C278" t="s">
        <v>120</v>
      </c>
      <c r="D278" t="s">
        <v>120</v>
      </c>
      <c r="E278" t="s">
        <v>56</v>
      </c>
      <c r="F278" t="s">
        <v>57</v>
      </c>
      <c r="G278" t="s">
        <v>32</v>
      </c>
      <c r="H278" t="s">
        <v>42</v>
      </c>
      <c r="I278" t="s">
        <v>23</v>
      </c>
      <c r="J278">
        <v>3</v>
      </c>
      <c r="K278">
        <v>436</v>
      </c>
      <c r="L278">
        <v>1308</v>
      </c>
    </row>
    <row r="279" spans="1:12">
      <c r="A279" t="s">
        <v>157</v>
      </c>
      <c r="B279" s="6">
        <v>46228</v>
      </c>
      <c r="C279" t="s">
        <v>95</v>
      </c>
      <c r="D279" t="s">
        <v>95</v>
      </c>
      <c r="E279" t="s">
        <v>117</v>
      </c>
      <c r="F279" t="s">
        <v>118</v>
      </c>
      <c r="G279" t="s">
        <v>21</v>
      </c>
      <c r="H279" t="s">
        <v>58</v>
      </c>
      <c r="I279" t="s">
        <v>23</v>
      </c>
      <c r="J279">
        <v>25</v>
      </c>
      <c r="K279">
        <v>460</v>
      </c>
      <c r="L279">
        <v>11500</v>
      </c>
    </row>
    <row r="280" spans="1:12">
      <c r="A280" t="s">
        <v>219</v>
      </c>
      <c r="B280" s="6">
        <v>46228</v>
      </c>
      <c r="C280" t="s">
        <v>18</v>
      </c>
      <c r="D280" t="s">
        <v>95</v>
      </c>
      <c r="E280" t="s">
        <v>220</v>
      </c>
      <c r="F280" t="s">
        <v>221</v>
      </c>
      <c r="G280" t="s">
        <v>21</v>
      </c>
      <c r="H280" t="s">
        <v>33</v>
      </c>
      <c r="I280" t="s">
        <v>23</v>
      </c>
      <c r="J280">
        <v>25</v>
      </c>
      <c r="K280">
        <v>401</v>
      </c>
      <c r="L280">
        <v>10025</v>
      </c>
    </row>
    <row r="281" spans="1:12">
      <c r="A281" t="s">
        <v>229</v>
      </c>
      <c r="B281" s="6">
        <v>46228</v>
      </c>
      <c r="C281" t="s">
        <v>88</v>
      </c>
      <c r="D281" t="s">
        <v>25</v>
      </c>
      <c r="E281" t="s">
        <v>76</v>
      </c>
      <c r="F281" t="s">
        <v>77</v>
      </c>
      <c r="G281" t="s">
        <v>41</v>
      </c>
      <c r="H281" t="s">
        <v>33</v>
      </c>
      <c r="I281" t="s">
        <v>23</v>
      </c>
      <c r="J281">
        <v>22</v>
      </c>
      <c r="K281">
        <v>405</v>
      </c>
      <c r="L281">
        <v>8910</v>
      </c>
    </row>
    <row r="282" spans="1:12">
      <c r="A282" t="s">
        <v>219</v>
      </c>
      <c r="B282" s="6">
        <v>46228</v>
      </c>
      <c r="C282" t="s">
        <v>52</v>
      </c>
      <c r="D282" t="s">
        <v>25</v>
      </c>
      <c r="E282" t="s">
        <v>243</v>
      </c>
      <c r="F282" t="s">
        <v>244</v>
      </c>
      <c r="G282" t="s">
        <v>21</v>
      </c>
      <c r="H282" t="s">
        <v>22</v>
      </c>
      <c r="I282" t="s">
        <v>23</v>
      </c>
      <c r="J282">
        <v>6</v>
      </c>
      <c r="K282">
        <v>396</v>
      </c>
      <c r="L282">
        <v>2376</v>
      </c>
    </row>
    <row r="283" spans="1:12">
      <c r="A283" t="s">
        <v>229</v>
      </c>
      <c r="B283" s="6">
        <v>46228</v>
      </c>
      <c r="C283" t="s">
        <v>18</v>
      </c>
      <c r="D283" t="s">
        <v>95</v>
      </c>
      <c r="E283" t="s">
        <v>228</v>
      </c>
      <c r="F283" t="s">
        <v>164</v>
      </c>
      <c r="G283" t="s">
        <v>41</v>
      </c>
      <c r="H283" t="s">
        <v>42</v>
      </c>
      <c r="I283" t="s">
        <v>23</v>
      </c>
      <c r="J283">
        <v>19</v>
      </c>
      <c r="K283">
        <v>423</v>
      </c>
      <c r="L283">
        <v>8037</v>
      </c>
    </row>
    <row r="284" spans="1:12">
      <c r="A284" t="s">
        <v>157</v>
      </c>
      <c r="B284" s="6">
        <v>46228</v>
      </c>
      <c r="C284" t="s">
        <v>11</v>
      </c>
      <c r="D284" t="s">
        <v>120</v>
      </c>
      <c r="E284" t="s">
        <v>284</v>
      </c>
      <c r="F284" t="s">
        <v>66</v>
      </c>
      <c r="G284" t="s">
        <v>14</v>
      </c>
      <c r="H284" t="s">
        <v>58</v>
      </c>
      <c r="I284" t="s">
        <v>23</v>
      </c>
      <c r="J284">
        <v>16</v>
      </c>
      <c r="K284">
        <v>464</v>
      </c>
      <c r="L284">
        <v>7424</v>
      </c>
    </row>
    <row r="285" spans="1:12">
      <c r="A285" t="s">
        <v>229</v>
      </c>
      <c r="B285" s="6">
        <v>46228</v>
      </c>
      <c r="C285" t="s">
        <v>52</v>
      </c>
      <c r="D285" t="s">
        <v>25</v>
      </c>
      <c r="E285" t="s">
        <v>102</v>
      </c>
      <c r="F285" t="s">
        <v>103</v>
      </c>
      <c r="G285" t="s">
        <v>14</v>
      </c>
      <c r="H285" t="s">
        <v>22</v>
      </c>
      <c r="I285" t="s">
        <v>23</v>
      </c>
      <c r="J285">
        <v>5</v>
      </c>
      <c r="K285">
        <v>412</v>
      </c>
      <c r="L285">
        <v>2060</v>
      </c>
    </row>
    <row r="286" spans="1:12">
      <c r="A286" t="s">
        <v>229</v>
      </c>
      <c r="B286" s="6">
        <v>46228</v>
      </c>
      <c r="C286" t="s">
        <v>139</v>
      </c>
      <c r="D286" t="s">
        <v>139</v>
      </c>
      <c r="E286" t="s">
        <v>249</v>
      </c>
      <c r="F286" t="s">
        <v>106</v>
      </c>
      <c r="G286" t="s">
        <v>41</v>
      </c>
      <c r="H286" t="s">
        <v>33</v>
      </c>
      <c r="I286" t="s">
        <v>23</v>
      </c>
      <c r="J286">
        <v>11</v>
      </c>
      <c r="K286">
        <v>403</v>
      </c>
      <c r="L286">
        <v>4433</v>
      </c>
    </row>
    <row r="287" spans="1:12">
      <c r="A287" t="s">
        <v>165</v>
      </c>
      <c r="B287" s="6">
        <v>46229</v>
      </c>
      <c r="C287" t="s">
        <v>38</v>
      </c>
      <c r="D287" t="s">
        <v>139</v>
      </c>
      <c r="E287" t="s">
        <v>166</v>
      </c>
      <c r="F287" t="s">
        <v>106</v>
      </c>
      <c r="G287" t="s">
        <v>14</v>
      </c>
      <c r="H287" t="s">
        <v>22</v>
      </c>
      <c r="I287" t="s">
        <v>23</v>
      </c>
      <c r="J287">
        <v>19</v>
      </c>
      <c r="K287">
        <v>396</v>
      </c>
      <c r="L287">
        <v>7524</v>
      </c>
    </row>
    <row r="288" spans="1:12">
      <c r="A288" t="s">
        <v>262</v>
      </c>
      <c r="B288" s="6">
        <v>46229</v>
      </c>
      <c r="C288" t="s">
        <v>30</v>
      </c>
      <c r="D288" t="s">
        <v>44</v>
      </c>
      <c r="E288" t="s">
        <v>263</v>
      </c>
      <c r="F288" t="s">
        <v>100</v>
      </c>
      <c r="G288" t="s">
        <v>21</v>
      </c>
      <c r="H288" t="s">
        <v>42</v>
      </c>
      <c r="I288" t="s">
        <v>23</v>
      </c>
      <c r="J288">
        <v>1</v>
      </c>
      <c r="K288">
        <v>413</v>
      </c>
      <c r="L288">
        <v>413</v>
      </c>
    </row>
    <row r="289" spans="1:12">
      <c r="A289" t="s">
        <v>165</v>
      </c>
      <c r="B289" s="6">
        <v>46229</v>
      </c>
      <c r="C289" t="s">
        <v>110</v>
      </c>
      <c r="D289" t="s">
        <v>95</v>
      </c>
      <c r="E289" t="s">
        <v>134</v>
      </c>
      <c r="F289" t="s">
        <v>106</v>
      </c>
      <c r="G289" t="s">
        <v>41</v>
      </c>
      <c r="H289" t="s">
        <v>58</v>
      </c>
      <c r="I289" t="s">
        <v>23</v>
      </c>
      <c r="J289">
        <v>15</v>
      </c>
      <c r="K289">
        <v>479</v>
      </c>
      <c r="L289">
        <v>7185</v>
      </c>
    </row>
    <row r="290" spans="1:12">
      <c r="A290" t="s">
        <v>165</v>
      </c>
      <c r="B290" s="6">
        <v>46229</v>
      </c>
      <c r="C290" t="s">
        <v>52</v>
      </c>
      <c r="D290" t="s">
        <v>25</v>
      </c>
      <c r="E290" t="s">
        <v>102</v>
      </c>
      <c r="F290" t="s">
        <v>103</v>
      </c>
      <c r="G290" t="s">
        <v>14</v>
      </c>
      <c r="H290" t="s">
        <v>15</v>
      </c>
      <c r="I290" t="s">
        <v>16</v>
      </c>
      <c r="K290">
        <v>762</v>
      </c>
    </row>
    <row r="291" spans="1:12">
      <c r="A291" t="s">
        <v>262</v>
      </c>
      <c r="B291" s="6">
        <v>46229</v>
      </c>
      <c r="C291" t="s">
        <v>73</v>
      </c>
      <c r="D291" t="s">
        <v>44</v>
      </c>
      <c r="E291" t="s">
        <v>176</v>
      </c>
      <c r="F291" t="s">
        <v>103</v>
      </c>
      <c r="G291" t="s">
        <v>32</v>
      </c>
      <c r="H291" t="s">
        <v>42</v>
      </c>
      <c r="I291" t="s">
        <v>23</v>
      </c>
      <c r="J291">
        <v>8</v>
      </c>
      <c r="K291">
        <v>435</v>
      </c>
      <c r="L291">
        <v>3480</v>
      </c>
    </row>
    <row r="292" spans="1:12">
      <c r="A292" t="s">
        <v>321</v>
      </c>
      <c r="B292" s="6">
        <v>46229</v>
      </c>
      <c r="C292" t="s">
        <v>108</v>
      </c>
      <c r="D292" t="s">
        <v>44</v>
      </c>
      <c r="E292" t="s">
        <v>322</v>
      </c>
      <c r="F292" t="s">
        <v>300</v>
      </c>
      <c r="G292" t="s">
        <v>21</v>
      </c>
      <c r="H292" t="s">
        <v>28</v>
      </c>
      <c r="I292" t="s">
        <v>23</v>
      </c>
      <c r="J292">
        <v>19</v>
      </c>
      <c r="K292">
        <v>275</v>
      </c>
      <c r="L292">
        <v>5225</v>
      </c>
    </row>
    <row r="293" spans="1:12">
      <c r="A293" t="s">
        <v>165</v>
      </c>
      <c r="B293" s="6">
        <v>46229</v>
      </c>
      <c r="C293" t="s">
        <v>108</v>
      </c>
      <c r="D293" t="s">
        <v>44</v>
      </c>
      <c r="E293" t="s">
        <v>288</v>
      </c>
      <c r="F293" t="s">
        <v>164</v>
      </c>
      <c r="G293" t="s">
        <v>21</v>
      </c>
      <c r="H293" t="s">
        <v>58</v>
      </c>
      <c r="I293" t="s">
        <v>23</v>
      </c>
      <c r="J293">
        <v>12</v>
      </c>
      <c r="K293">
        <v>479</v>
      </c>
      <c r="L293">
        <v>5748</v>
      </c>
    </row>
    <row r="294" spans="1:12">
      <c r="A294" t="s">
        <v>43</v>
      </c>
      <c r="B294" s="6">
        <v>46230</v>
      </c>
      <c r="C294" t="s">
        <v>44</v>
      </c>
      <c r="D294" t="s">
        <v>44</v>
      </c>
      <c r="E294" t="s">
        <v>45</v>
      </c>
      <c r="F294" t="s">
        <v>46</v>
      </c>
      <c r="G294" t="s">
        <v>14</v>
      </c>
      <c r="H294" t="s">
        <v>22</v>
      </c>
      <c r="I294" t="s">
        <v>23</v>
      </c>
      <c r="J294">
        <v>23</v>
      </c>
      <c r="K294">
        <v>408</v>
      </c>
      <c r="L294">
        <v>9384</v>
      </c>
    </row>
    <row r="295" spans="1:12">
      <c r="A295" t="s">
        <v>43</v>
      </c>
      <c r="B295" s="6">
        <v>46230</v>
      </c>
      <c r="C295" t="s">
        <v>110</v>
      </c>
      <c r="D295" t="s">
        <v>95</v>
      </c>
      <c r="E295" t="s">
        <v>217</v>
      </c>
      <c r="F295" t="s">
        <v>93</v>
      </c>
      <c r="G295" t="s">
        <v>14</v>
      </c>
      <c r="H295" t="s">
        <v>28</v>
      </c>
      <c r="I295" t="s">
        <v>23</v>
      </c>
      <c r="J295">
        <v>13</v>
      </c>
      <c r="K295">
        <v>273</v>
      </c>
      <c r="L295">
        <v>3549</v>
      </c>
    </row>
    <row r="296" spans="1:12">
      <c r="A296" t="s">
        <v>43</v>
      </c>
      <c r="B296" s="6">
        <v>46230</v>
      </c>
      <c r="C296" t="s">
        <v>88</v>
      </c>
      <c r="D296" t="s">
        <v>25</v>
      </c>
      <c r="E296" t="s">
        <v>241</v>
      </c>
      <c r="F296" t="s">
        <v>242</v>
      </c>
      <c r="G296" t="s">
        <v>14</v>
      </c>
      <c r="H296" t="s">
        <v>42</v>
      </c>
      <c r="I296" t="s">
        <v>23</v>
      </c>
      <c r="J296">
        <v>20</v>
      </c>
      <c r="K296">
        <v>430</v>
      </c>
      <c r="L296">
        <v>8600</v>
      </c>
    </row>
    <row r="297" spans="1:12">
      <c r="A297" t="s">
        <v>311</v>
      </c>
      <c r="B297" s="6">
        <v>46230</v>
      </c>
      <c r="C297" t="s">
        <v>73</v>
      </c>
      <c r="D297" t="s">
        <v>44</v>
      </c>
      <c r="E297" t="s">
        <v>176</v>
      </c>
      <c r="F297" t="s">
        <v>103</v>
      </c>
      <c r="G297" t="s">
        <v>32</v>
      </c>
      <c r="H297" t="s">
        <v>42</v>
      </c>
      <c r="I297" t="s">
        <v>23</v>
      </c>
      <c r="J297">
        <v>7</v>
      </c>
      <c r="K297">
        <v>436</v>
      </c>
      <c r="L297">
        <v>3052</v>
      </c>
    </row>
    <row r="298" spans="1:12">
      <c r="A298" t="s">
        <v>43</v>
      </c>
      <c r="B298" s="6">
        <v>46230</v>
      </c>
      <c r="C298" t="s">
        <v>44</v>
      </c>
      <c r="D298" t="s">
        <v>44</v>
      </c>
      <c r="E298" t="s">
        <v>45</v>
      </c>
      <c r="F298" t="s">
        <v>46</v>
      </c>
      <c r="G298" t="s">
        <v>14</v>
      </c>
      <c r="H298" t="s">
        <v>22</v>
      </c>
      <c r="I298" t="s">
        <v>23</v>
      </c>
      <c r="J298">
        <v>23</v>
      </c>
      <c r="K298">
        <v>408</v>
      </c>
      <c r="L298">
        <v>9384</v>
      </c>
    </row>
    <row r="299" spans="1:12">
      <c r="A299" t="s">
        <v>311</v>
      </c>
      <c r="B299" s="6">
        <v>46230</v>
      </c>
      <c r="C299" t="s">
        <v>25</v>
      </c>
      <c r="D299" t="s">
        <v>25</v>
      </c>
      <c r="E299" t="s">
        <v>142</v>
      </c>
      <c r="F299" t="s">
        <v>137</v>
      </c>
      <c r="G299" t="s">
        <v>41</v>
      </c>
      <c r="H299" t="s">
        <v>42</v>
      </c>
      <c r="I299" t="s">
        <v>23</v>
      </c>
      <c r="J299">
        <v>21</v>
      </c>
      <c r="K299">
        <v>414</v>
      </c>
      <c r="L299">
        <v>8694</v>
      </c>
    </row>
    <row r="300" spans="1:12">
      <c r="A300" t="s">
        <v>135</v>
      </c>
      <c r="B300" s="6">
        <v>46231</v>
      </c>
      <c r="C300" t="s">
        <v>73</v>
      </c>
      <c r="D300" t="s">
        <v>44</v>
      </c>
      <c r="E300" t="s">
        <v>136</v>
      </c>
      <c r="F300" t="s">
        <v>137</v>
      </c>
      <c r="G300" t="s">
        <v>14</v>
      </c>
      <c r="H300" t="s">
        <v>28</v>
      </c>
      <c r="I300" t="s">
        <v>23</v>
      </c>
      <c r="J300">
        <v>5</v>
      </c>
      <c r="K300">
        <v>295</v>
      </c>
      <c r="L300">
        <v>1475</v>
      </c>
    </row>
    <row r="301" spans="1:12">
      <c r="A301" t="s">
        <v>138</v>
      </c>
      <c r="B301" s="6">
        <v>46231</v>
      </c>
      <c r="C301" t="s">
        <v>139</v>
      </c>
      <c r="D301" t="s">
        <v>139</v>
      </c>
      <c r="E301" t="s">
        <v>140</v>
      </c>
      <c r="F301" t="s">
        <v>118</v>
      </c>
      <c r="G301" t="s">
        <v>50</v>
      </c>
      <c r="H301" t="s">
        <v>58</v>
      </c>
      <c r="I301" t="s">
        <v>23</v>
      </c>
      <c r="J301">
        <v>15</v>
      </c>
      <c r="K301">
        <v>475</v>
      </c>
      <c r="L301">
        <v>7125</v>
      </c>
    </row>
    <row r="302" spans="1:12">
      <c r="A302" t="s">
        <v>138</v>
      </c>
      <c r="B302" s="6">
        <v>46231</v>
      </c>
      <c r="C302" t="s">
        <v>38</v>
      </c>
      <c r="D302" t="s">
        <v>139</v>
      </c>
      <c r="E302" t="s">
        <v>166</v>
      </c>
      <c r="F302" t="s">
        <v>106</v>
      </c>
      <c r="G302" t="s">
        <v>14</v>
      </c>
      <c r="H302" t="s">
        <v>22</v>
      </c>
      <c r="I302" t="s">
        <v>23</v>
      </c>
      <c r="K302">
        <v>410</v>
      </c>
    </row>
    <row r="303" spans="1:12">
      <c r="A303" t="s">
        <v>138</v>
      </c>
      <c r="B303" s="6">
        <v>46231</v>
      </c>
      <c r="C303" t="s">
        <v>52</v>
      </c>
      <c r="D303" t="s">
        <v>25</v>
      </c>
      <c r="E303" t="s">
        <v>168</v>
      </c>
      <c r="F303" t="s">
        <v>115</v>
      </c>
      <c r="G303" t="s">
        <v>41</v>
      </c>
      <c r="H303" t="s">
        <v>42</v>
      </c>
      <c r="I303" t="s">
        <v>23</v>
      </c>
      <c r="J303">
        <v>11</v>
      </c>
      <c r="K303">
        <v>435</v>
      </c>
      <c r="L303">
        <v>4785</v>
      </c>
    </row>
    <row r="304" spans="1:12">
      <c r="A304" t="s">
        <v>138</v>
      </c>
      <c r="B304" s="6">
        <v>46231</v>
      </c>
      <c r="C304" t="s">
        <v>25</v>
      </c>
      <c r="D304" t="s">
        <v>25</v>
      </c>
      <c r="E304" t="s">
        <v>307</v>
      </c>
      <c r="F304" t="s">
        <v>115</v>
      </c>
      <c r="G304" t="s">
        <v>14</v>
      </c>
      <c r="H304" t="s">
        <v>22</v>
      </c>
      <c r="I304" t="s">
        <v>23</v>
      </c>
      <c r="J304">
        <v>4</v>
      </c>
      <c r="K304">
        <v>419</v>
      </c>
      <c r="L304">
        <v>1676</v>
      </c>
    </row>
    <row r="305" spans="1:12">
      <c r="A305" t="s">
        <v>135</v>
      </c>
      <c r="B305" s="6">
        <v>46231</v>
      </c>
      <c r="C305" t="s">
        <v>110</v>
      </c>
      <c r="D305" t="s">
        <v>95</v>
      </c>
      <c r="E305" t="s">
        <v>217</v>
      </c>
      <c r="F305" t="s">
        <v>93</v>
      </c>
      <c r="G305" t="s">
        <v>14</v>
      </c>
      <c r="H305" t="s">
        <v>22</v>
      </c>
      <c r="I305" t="s">
        <v>23</v>
      </c>
      <c r="J305">
        <v>14</v>
      </c>
      <c r="K305">
        <v>402</v>
      </c>
      <c r="L305">
        <v>5628</v>
      </c>
    </row>
    <row r="306" spans="1:12">
      <c r="A306" t="s">
        <v>325</v>
      </c>
      <c r="B306" s="6">
        <v>46231</v>
      </c>
      <c r="C306" t="s">
        <v>120</v>
      </c>
      <c r="D306" t="s">
        <v>120</v>
      </c>
      <c r="E306" t="s">
        <v>125</v>
      </c>
      <c r="F306" t="s">
        <v>112</v>
      </c>
      <c r="G306" t="s">
        <v>32</v>
      </c>
      <c r="H306" t="s">
        <v>22</v>
      </c>
      <c r="I306" t="s">
        <v>23</v>
      </c>
      <c r="J306">
        <v>13</v>
      </c>
      <c r="K306">
        <v>406</v>
      </c>
      <c r="L306">
        <v>5278</v>
      </c>
    </row>
    <row r="307" spans="1:12">
      <c r="A307" t="s">
        <v>194</v>
      </c>
      <c r="B307" s="6">
        <v>46232</v>
      </c>
      <c r="C307" t="s">
        <v>44</v>
      </c>
      <c r="D307" t="s">
        <v>44</v>
      </c>
      <c r="E307" t="s">
        <v>45</v>
      </c>
      <c r="F307" t="s">
        <v>46</v>
      </c>
      <c r="G307" t="s">
        <v>14</v>
      </c>
      <c r="H307" t="s">
        <v>15</v>
      </c>
      <c r="I307" t="s">
        <v>16</v>
      </c>
      <c r="J307">
        <v>11</v>
      </c>
      <c r="K307">
        <v>742</v>
      </c>
      <c r="L307">
        <v>8162</v>
      </c>
    </row>
    <row r="308" spans="1:12">
      <c r="A308" t="s">
        <v>302</v>
      </c>
      <c r="B308" s="6">
        <v>46232</v>
      </c>
      <c r="C308" t="s">
        <v>11</v>
      </c>
      <c r="D308" t="s">
        <v>120</v>
      </c>
      <c r="E308" t="s">
        <v>149</v>
      </c>
      <c r="F308" t="s">
        <v>115</v>
      </c>
      <c r="G308" t="s">
        <v>50</v>
      </c>
      <c r="H308" t="s">
        <v>15</v>
      </c>
      <c r="I308" t="s">
        <v>16</v>
      </c>
      <c r="J308">
        <v>3</v>
      </c>
      <c r="K308">
        <v>757</v>
      </c>
      <c r="L308">
        <v>2271</v>
      </c>
    </row>
    <row r="309" spans="1:12">
      <c r="A309" t="s">
        <v>302</v>
      </c>
      <c r="B309" s="6">
        <v>46232</v>
      </c>
      <c r="C309" t="s">
        <v>95</v>
      </c>
      <c r="D309" t="s">
        <v>95</v>
      </c>
      <c r="E309" t="s">
        <v>19</v>
      </c>
      <c r="F309" t="s">
        <v>20</v>
      </c>
      <c r="G309" t="s">
        <v>21</v>
      </c>
      <c r="H309" t="s">
        <v>42</v>
      </c>
      <c r="I309" t="s">
        <v>23</v>
      </c>
      <c r="J309">
        <v>5</v>
      </c>
      <c r="K309">
        <v>429</v>
      </c>
      <c r="L309">
        <v>2145</v>
      </c>
    </row>
    <row r="310" spans="1:12">
      <c r="A310" t="s">
        <v>208</v>
      </c>
      <c r="B310" s="6">
        <v>46233</v>
      </c>
      <c r="C310" t="s">
        <v>88</v>
      </c>
      <c r="D310" t="s">
        <v>25</v>
      </c>
      <c r="E310" t="s">
        <v>168</v>
      </c>
      <c r="F310" t="s">
        <v>115</v>
      </c>
      <c r="G310" t="s">
        <v>41</v>
      </c>
      <c r="H310" t="s">
        <v>28</v>
      </c>
      <c r="I310" t="s">
        <v>23</v>
      </c>
      <c r="J310">
        <v>17</v>
      </c>
      <c r="K310">
        <v>296</v>
      </c>
      <c r="L310">
        <v>5032</v>
      </c>
    </row>
    <row r="311" spans="1:12">
      <c r="A311" t="s">
        <v>261</v>
      </c>
      <c r="B311" s="6">
        <v>46233</v>
      </c>
      <c r="C311" t="s">
        <v>38</v>
      </c>
      <c r="D311" t="s">
        <v>139</v>
      </c>
      <c r="E311" t="s">
        <v>193</v>
      </c>
      <c r="F311" t="s">
        <v>118</v>
      </c>
      <c r="G311" t="s">
        <v>14</v>
      </c>
      <c r="H311" t="s">
        <v>58</v>
      </c>
      <c r="I311" t="s">
        <v>23</v>
      </c>
      <c r="J311">
        <v>13</v>
      </c>
      <c r="K311">
        <v>455</v>
      </c>
      <c r="L311">
        <v>5915</v>
      </c>
    </row>
    <row r="312" spans="1:12">
      <c r="A312" t="s">
        <v>292</v>
      </c>
      <c r="B312" s="6">
        <v>46233</v>
      </c>
      <c r="C312" t="s">
        <v>139</v>
      </c>
      <c r="D312" t="s">
        <v>139</v>
      </c>
      <c r="E312" t="s">
        <v>253</v>
      </c>
      <c r="F312" t="s">
        <v>239</v>
      </c>
      <c r="G312" t="s">
        <v>21</v>
      </c>
      <c r="H312" t="s">
        <v>28</v>
      </c>
      <c r="I312" t="s">
        <v>23</v>
      </c>
      <c r="J312">
        <v>23</v>
      </c>
      <c r="K312">
        <v>273</v>
      </c>
      <c r="L312">
        <v>6279</v>
      </c>
    </row>
    <row r="313" spans="1:12">
      <c r="A313" t="s">
        <v>175</v>
      </c>
      <c r="B313" s="6">
        <v>46234</v>
      </c>
      <c r="C313" t="s">
        <v>44</v>
      </c>
      <c r="D313" t="s">
        <v>44</v>
      </c>
      <c r="E313" t="s">
        <v>176</v>
      </c>
      <c r="F313" t="s">
        <v>103</v>
      </c>
      <c r="G313" t="s">
        <v>32</v>
      </c>
      <c r="H313" t="s">
        <v>58</v>
      </c>
      <c r="I313" t="s">
        <v>23</v>
      </c>
      <c r="J313">
        <v>15</v>
      </c>
      <c r="K313">
        <v>456</v>
      </c>
      <c r="L313">
        <v>6840</v>
      </c>
    </row>
    <row r="314" spans="1:12">
      <c r="A314" t="s">
        <v>202</v>
      </c>
      <c r="B314" s="6">
        <v>46234</v>
      </c>
      <c r="C314" t="s">
        <v>44</v>
      </c>
      <c r="D314" t="s">
        <v>44</v>
      </c>
      <c r="E314" t="s">
        <v>45</v>
      </c>
      <c r="F314" t="s">
        <v>46</v>
      </c>
      <c r="G314" t="s">
        <v>14</v>
      </c>
      <c r="H314" t="s">
        <v>22</v>
      </c>
      <c r="I314" t="s">
        <v>23</v>
      </c>
      <c r="J314">
        <v>4</v>
      </c>
      <c r="K314">
        <v>410</v>
      </c>
      <c r="L314">
        <v>1640</v>
      </c>
    </row>
    <row r="315" spans="1:12">
      <c r="A315" t="s">
        <v>203</v>
      </c>
      <c r="B315" s="6">
        <v>46234</v>
      </c>
      <c r="C315" t="s">
        <v>110</v>
      </c>
      <c r="D315" t="s">
        <v>95</v>
      </c>
      <c r="E315" t="s">
        <v>204</v>
      </c>
      <c r="F315" t="s">
        <v>137</v>
      </c>
      <c r="G315" t="s">
        <v>14</v>
      </c>
      <c r="H315" t="s">
        <v>15</v>
      </c>
      <c r="I315" t="s">
        <v>16</v>
      </c>
      <c r="J315">
        <v>18</v>
      </c>
      <c r="K315">
        <v>738</v>
      </c>
      <c r="L315">
        <v>13284</v>
      </c>
    </row>
    <row r="316" spans="1:12">
      <c r="A316" t="s">
        <v>202</v>
      </c>
      <c r="B316" s="6">
        <v>46234</v>
      </c>
      <c r="C316" t="s">
        <v>25</v>
      </c>
      <c r="D316" t="s">
        <v>25</v>
      </c>
      <c r="E316" t="s">
        <v>82</v>
      </c>
      <c r="F316" t="s">
        <v>83</v>
      </c>
      <c r="G316" t="s">
        <v>41</v>
      </c>
      <c r="H316" t="s">
        <v>28</v>
      </c>
      <c r="I316" t="s">
        <v>23</v>
      </c>
      <c r="J316">
        <v>7</v>
      </c>
      <c r="K316">
        <v>274</v>
      </c>
      <c r="L316">
        <v>1918</v>
      </c>
    </row>
    <row r="317" spans="1:12">
      <c r="A317" t="s">
        <v>203</v>
      </c>
      <c r="B317" s="6">
        <v>46234</v>
      </c>
      <c r="C317" t="s">
        <v>38</v>
      </c>
      <c r="D317" t="s">
        <v>139</v>
      </c>
      <c r="E317" t="s">
        <v>298</v>
      </c>
      <c r="F317" t="s">
        <v>137</v>
      </c>
      <c r="G317" t="s">
        <v>50</v>
      </c>
      <c r="H317" t="s">
        <v>28</v>
      </c>
      <c r="I317" t="s">
        <v>23</v>
      </c>
      <c r="J317">
        <v>3</v>
      </c>
      <c r="K317">
        <v>284</v>
      </c>
      <c r="L317">
        <v>852</v>
      </c>
    </row>
    <row r="318" spans="1:12">
      <c r="A318" t="s">
        <v>175</v>
      </c>
      <c r="B318" s="6">
        <v>46234</v>
      </c>
      <c r="C318" t="s">
        <v>52</v>
      </c>
      <c r="D318" t="s">
        <v>25</v>
      </c>
      <c r="E318" t="s">
        <v>301</v>
      </c>
      <c r="F318" t="s">
        <v>103</v>
      </c>
      <c r="G318" t="s">
        <v>14</v>
      </c>
      <c r="H318" t="s">
        <v>22</v>
      </c>
      <c r="I318" t="s">
        <v>23</v>
      </c>
      <c r="J318">
        <v>10</v>
      </c>
      <c r="K318">
        <v>415</v>
      </c>
      <c r="L318">
        <v>4150</v>
      </c>
    </row>
    <row r="319" spans="1:12">
      <c r="A319" t="s">
        <v>202</v>
      </c>
      <c r="B319" s="6">
        <v>46234</v>
      </c>
      <c r="C319" t="s">
        <v>88</v>
      </c>
      <c r="D319" t="s">
        <v>25</v>
      </c>
      <c r="E319" t="s">
        <v>238</v>
      </c>
      <c r="F319" t="s">
        <v>239</v>
      </c>
      <c r="G319" t="s">
        <v>14</v>
      </c>
      <c r="H319" t="s">
        <v>28</v>
      </c>
      <c r="I319" t="s">
        <v>23</v>
      </c>
      <c r="J319">
        <v>7</v>
      </c>
      <c r="K319">
        <v>300</v>
      </c>
      <c r="L319">
        <v>2100</v>
      </c>
    </row>
    <row r="320" spans="1:12">
      <c r="A320" t="s">
        <v>203</v>
      </c>
      <c r="B320" s="6">
        <v>46234</v>
      </c>
      <c r="C320" t="s">
        <v>38</v>
      </c>
      <c r="D320" t="s">
        <v>139</v>
      </c>
      <c r="E320" t="s">
        <v>253</v>
      </c>
      <c r="F320" t="s">
        <v>239</v>
      </c>
      <c r="G320" t="s">
        <v>21</v>
      </c>
      <c r="H320" t="s">
        <v>42</v>
      </c>
      <c r="I320" t="s">
        <v>23</v>
      </c>
      <c r="J320">
        <v>6</v>
      </c>
      <c r="K320">
        <v>439</v>
      </c>
      <c r="L320">
        <v>2634</v>
      </c>
    </row>
    <row r="321" spans="1:12">
      <c r="A321" t="s">
        <v>203</v>
      </c>
      <c r="B321" s="6">
        <v>46234</v>
      </c>
      <c r="C321" t="s">
        <v>11</v>
      </c>
      <c r="D321" t="s">
        <v>120</v>
      </c>
      <c r="E321" t="s">
        <v>185</v>
      </c>
      <c r="F321" t="s">
        <v>36</v>
      </c>
      <c r="G321" t="s">
        <v>50</v>
      </c>
      <c r="H321" t="s">
        <v>33</v>
      </c>
      <c r="I321" t="s">
        <v>23</v>
      </c>
      <c r="J321">
        <v>2</v>
      </c>
      <c r="K321">
        <v>401</v>
      </c>
      <c r="L321">
        <v>802</v>
      </c>
    </row>
  </sheetData>
  <autoFilter ref="A1:L321" xr:uid="{6C5A5BD8-6F38-4323-AAED-701C6191C4B1}">
    <sortState xmlns:xlrd2="http://schemas.microsoft.com/office/spreadsheetml/2017/richdata2" ref="A2:L321">
      <sortCondition ref="B1:B321"/>
    </sortState>
  </autoFilter>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DC3BC-B321-42ED-A1E9-053643BEC82D}">
  <dimension ref="A1:M311"/>
  <sheetViews>
    <sheetView workbookViewId="0">
      <pane ySplit="1" topLeftCell="A2" activePane="bottomLeft" state="frozen"/>
      <selection pane="bottomLeft" activeCell="E20" sqref="E20"/>
    </sheetView>
  </sheetViews>
  <sheetFormatPr defaultColWidth="27.77734375" defaultRowHeight="14.4"/>
  <cols>
    <col min="1" max="1" width="15.21875" style="3" customWidth="1"/>
    <col min="2" max="2" width="24.33203125" style="3" customWidth="1"/>
    <col min="3" max="8" width="27.77734375" style="3"/>
    <col min="9" max="9" width="18.6640625" style="3" customWidth="1"/>
    <col min="10" max="10" width="20.88671875" style="3" customWidth="1"/>
    <col min="11" max="11" width="27.77734375" style="3"/>
    <col min="12" max="12" width="29.88671875" style="3" customWidth="1"/>
    <col min="13" max="13" width="69.109375" style="3" customWidth="1"/>
    <col min="14" max="16384" width="27.77734375" style="3"/>
  </cols>
  <sheetData>
    <row r="1" spans="1:13" ht="15.6">
      <c r="A1" s="2" t="s">
        <v>0</v>
      </c>
      <c r="B1" s="2" t="s">
        <v>330</v>
      </c>
      <c r="C1" s="2" t="s">
        <v>331</v>
      </c>
      <c r="D1" s="2" t="s">
        <v>332</v>
      </c>
      <c r="E1" s="2" t="s">
        <v>2</v>
      </c>
      <c r="F1" s="2" t="s">
        <v>3</v>
      </c>
      <c r="G1" s="2" t="s">
        <v>4</v>
      </c>
      <c r="H1" s="2" t="s">
        <v>5</v>
      </c>
      <c r="I1" s="2" t="s">
        <v>6</v>
      </c>
      <c r="J1" s="2" t="s">
        <v>7</v>
      </c>
      <c r="K1" s="2" t="s">
        <v>8</v>
      </c>
      <c r="L1" s="2" t="s">
        <v>9</v>
      </c>
      <c r="M1" s="2" t="s">
        <v>333</v>
      </c>
    </row>
    <row r="2" spans="1:13">
      <c r="A2" s="3" t="s">
        <v>109</v>
      </c>
      <c r="B2" s="25">
        <v>46174</v>
      </c>
      <c r="C2" s="3" t="s">
        <v>52</v>
      </c>
      <c r="D2" s="3" t="s">
        <v>25</v>
      </c>
      <c r="E2" s="3" t="s">
        <v>26</v>
      </c>
      <c r="F2" s="3" t="s">
        <v>27</v>
      </c>
      <c r="G2" s="3" t="s">
        <v>14</v>
      </c>
      <c r="H2" s="3" t="s">
        <v>22</v>
      </c>
      <c r="I2" s="3" t="s">
        <v>23</v>
      </c>
      <c r="J2" s="3">
        <v>21</v>
      </c>
      <c r="K2" s="3">
        <v>422</v>
      </c>
      <c r="L2" s="3">
        <v>8862</v>
      </c>
      <c r="M2" s="26"/>
    </row>
    <row r="3" spans="1:13">
      <c r="A3" s="3" t="s">
        <v>109</v>
      </c>
      <c r="B3" s="25">
        <v>46174</v>
      </c>
      <c r="C3" s="3" t="s">
        <v>25</v>
      </c>
      <c r="D3" s="3" t="s">
        <v>25</v>
      </c>
      <c r="E3" s="3" t="s">
        <v>163</v>
      </c>
      <c r="F3" s="3" t="s">
        <v>164</v>
      </c>
      <c r="G3" s="3" t="s">
        <v>32</v>
      </c>
      <c r="H3" s="3" t="s">
        <v>58</v>
      </c>
      <c r="I3" s="3" t="s">
        <v>23</v>
      </c>
      <c r="J3" s="3">
        <v>8</v>
      </c>
      <c r="K3" s="3">
        <v>469</v>
      </c>
      <c r="L3" s="3">
        <v>3752</v>
      </c>
    </row>
    <row r="4" spans="1:13">
      <c r="A4" s="3" t="s">
        <v>233</v>
      </c>
      <c r="B4" s="25">
        <v>46174</v>
      </c>
      <c r="C4" s="3" t="s">
        <v>95</v>
      </c>
      <c r="D4" s="3" t="s">
        <v>95</v>
      </c>
      <c r="E4" s="3" t="s">
        <v>234</v>
      </c>
      <c r="F4" s="3" t="s">
        <v>235</v>
      </c>
      <c r="G4" s="3" t="s">
        <v>50</v>
      </c>
      <c r="H4" s="3" t="s">
        <v>15</v>
      </c>
      <c r="I4" s="3" t="s">
        <v>16</v>
      </c>
      <c r="J4" s="3">
        <v>18</v>
      </c>
      <c r="K4" s="3">
        <v>756</v>
      </c>
      <c r="L4" s="3">
        <v>13608</v>
      </c>
    </row>
    <row r="5" spans="1:13">
      <c r="A5" s="3" t="s">
        <v>303</v>
      </c>
      <c r="B5" s="25">
        <v>46174</v>
      </c>
      <c r="C5" s="3" t="s">
        <v>95</v>
      </c>
      <c r="D5" s="3" t="s">
        <v>95</v>
      </c>
      <c r="E5" s="3" t="s">
        <v>251</v>
      </c>
      <c r="F5" s="3" t="s">
        <v>137</v>
      </c>
      <c r="G5" s="3" t="s">
        <v>50</v>
      </c>
      <c r="H5" s="3" t="s">
        <v>42</v>
      </c>
      <c r="I5" s="3" t="s">
        <v>23</v>
      </c>
      <c r="J5" s="3">
        <v>25</v>
      </c>
      <c r="K5" s="3">
        <v>418</v>
      </c>
      <c r="L5" s="3">
        <v>10450</v>
      </c>
    </row>
    <row r="6" spans="1:13">
      <c r="A6" s="3" t="s">
        <v>109</v>
      </c>
      <c r="B6" s="25">
        <v>46174</v>
      </c>
      <c r="C6" s="3" t="s">
        <v>88</v>
      </c>
      <c r="D6" s="3" t="s">
        <v>25</v>
      </c>
      <c r="E6" s="3" t="s">
        <v>316</v>
      </c>
      <c r="F6" s="3" t="s">
        <v>112</v>
      </c>
      <c r="G6" s="3" t="s">
        <v>14</v>
      </c>
      <c r="H6" s="3" t="s">
        <v>22</v>
      </c>
      <c r="I6" s="3" t="s">
        <v>23</v>
      </c>
      <c r="J6" s="3">
        <v>25</v>
      </c>
      <c r="K6" s="3">
        <v>400</v>
      </c>
      <c r="L6" s="3">
        <v>10000</v>
      </c>
    </row>
    <row r="7" spans="1:13">
      <c r="A7" s="3" t="s">
        <v>264</v>
      </c>
      <c r="B7" s="25">
        <v>46175</v>
      </c>
      <c r="C7" s="3" t="s">
        <v>52</v>
      </c>
      <c r="D7" s="3" t="s">
        <v>25</v>
      </c>
      <c r="E7" s="3" t="s">
        <v>26</v>
      </c>
      <c r="F7" s="3" t="s">
        <v>27</v>
      </c>
      <c r="G7" s="3" t="s">
        <v>14</v>
      </c>
      <c r="H7" s="3" t="s">
        <v>58</v>
      </c>
      <c r="I7" s="3" t="s">
        <v>23</v>
      </c>
      <c r="J7" s="3">
        <v>13</v>
      </c>
      <c r="K7" s="3">
        <v>464</v>
      </c>
      <c r="L7" s="3">
        <v>6032</v>
      </c>
    </row>
    <row r="8" spans="1:13">
      <c r="A8" s="3" t="s">
        <v>264</v>
      </c>
      <c r="B8" s="25">
        <v>46175</v>
      </c>
      <c r="C8" s="3" t="s">
        <v>120</v>
      </c>
      <c r="D8" s="3" t="s">
        <v>120</v>
      </c>
      <c r="E8" s="3" t="s">
        <v>68</v>
      </c>
      <c r="F8" s="3" t="s">
        <v>36</v>
      </c>
      <c r="G8" s="3" t="s">
        <v>50</v>
      </c>
      <c r="H8" s="3" t="s">
        <v>15</v>
      </c>
      <c r="I8" s="3" t="s">
        <v>16</v>
      </c>
      <c r="J8" s="3">
        <v>24</v>
      </c>
      <c r="K8" s="3">
        <v>743</v>
      </c>
      <c r="L8" s="3">
        <v>17832</v>
      </c>
    </row>
    <row r="9" spans="1:13">
      <c r="A9" s="3" t="s">
        <v>312</v>
      </c>
      <c r="B9" s="25">
        <v>46175</v>
      </c>
      <c r="C9" s="3" t="s">
        <v>120</v>
      </c>
      <c r="D9" s="3" t="s">
        <v>120</v>
      </c>
      <c r="E9" s="3" t="s">
        <v>278</v>
      </c>
      <c r="F9" s="3" t="s">
        <v>242</v>
      </c>
      <c r="G9" s="3" t="s">
        <v>32</v>
      </c>
      <c r="H9" s="3" t="s">
        <v>28</v>
      </c>
      <c r="I9" s="3" t="s">
        <v>23</v>
      </c>
      <c r="J9" s="3">
        <v>18</v>
      </c>
      <c r="K9" s="3">
        <v>300</v>
      </c>
      <c r="L9" s="3">
        <v>5400</v>
      </c>
    </row>
    <row r="10" spans="1:13">
      <c r="A10" s="3" t="s">
        <v>317</v>
      </c>
      <c r="B10" s="25">
        <v>46175</v>
      </c>
      <c r="C10" s="3" t="s">
        <v>44</v>
      </c>
      <c r="D10" s="3" t="s">
        <v>44</v>
      </c>
      <c r="E10" s="3" t="s">
        <v>276</v>
      </c>
      <c r="F10" s="3" t="s">
        <v>164</v>
      </c>
      <c r="G10" s="3" t="s">
        <v>32</v>
      </c>
      <c r="H10" s="3" t="s">
        <v>22</v>
      </c>
      <c r="I10" s="3" t="s">
        <v>23</v>
      </c>
      <c r="J10" s="3">
        <v>21</v>
      </c>
      <c r="K10" s="3">
        <v>398</v>
      </c>
      <c r="L10" s="3">
        <v>8358</v>
      </c>
    </row>
    <row r="11" spans="1:13">
      <c r="A11" s="3" t="s">
        <v>312</v>
      </c>
      <c r="B11" s="25">
        <v>46175</v>
      </c>
      <c r="C11" s="3" t="s">
        <v>11</v>
      </c>
      <c r="D11" s="3" t="s">
        <v>120</v>
      </c>
      <c r="E11" s="3" t="s">
        <v>327</v>
      </c>
      <c r="F11" s="3" t="s">
        <v>36</v>
      </c>
      <c r="G11" s="3" t="s">
        <v>21</v>
      </c>
      <c r="H11" s="3" t="s">
        <v>28</v>
      </c>
      <c r="I11" s="3" t="s">
        <v>23</v>
      </c>
      <c r="J11" s="3">
        <v>10</v>
      </c>
      <c r="K11" s="3">
        <v>292</v>
      </c>
      <c r="L11" s="3">
        <v>2920</v>
      </c>
    </row>
    <row r="12" spans="1:13">
      <c r="A12" s="3" t="s">
        <v>51</v>
      </c>
      <c r="B12" s="25">
        <v>46176</v>
      </c>
      <c r="C12" s="3" t="s">
        <v>52</v>
      </c>
      <c r="D12" s="3" t="s">
        <v>25</v>
      </c>
      <c r="E12" s="3" t="s">
        <v>53</v>
      </c>
      <c r="F12" s="3" t="s">
        <v>54</v>
      </c>
      <c r="G12" s="3" t="s">
        <v>50</v>
      </c>
      <c r="H12" s="3" t="s">
        <v>28</v>
      </c>
      <c r="I12" s="3" t="s">
        <v>23</v>
      </c>
      <c r="J12" s="3">
        <v>21</v>
      </c>
      <c r="K12" s="3">
        <v>297</v>
      </c>
      <c r="L12" s="3">
        <v>6237</v>
      </c>
    </row>
    <row r="13" spans="1:13">
      <c r="A13" s="3" t="s">
        <v>183</v>
      </c>
      <c r="B13" s="25">
        <v>46176</v>
      </c>
      <c r="C13" s="3" t="s">
        <v>25</v>
      </c>
      <c r="D13" s="3" t="s">
        <v>25</v>
      </c>
      <c r="E13" s="3" t="s">
        <v>163</v>
      </c>
      <c r="F13" s="3" t="s">
        <v>164</v>
      </c>
      <c r="G13" s="3" t="s">
        <v>32</v>
      </c>
      <c r="H13" s="3" t="s">
        <v>28</v>
      </c>
      <c r="I13" s="3" t="s">
        <v>23</v>
      </c>
      <c r="J13" s="3">
        <v>22</v>
      </c>
      <c r="K13" s="3">
        <v>295</v>
      </c>
      <c r="L13" s="3">
        <v>6490</v>
      </c>
    </row>
    <row r="14" spans="1:13">
      <c r="A14" s="3" t="s">
        <v>183</v>
      </c>
      <c r="B14" s="25">
        <v>46176</v>
      </c>
      <c r="C14" s="3" t="s">
        <v>139</v>
      </c>
      <c r="D14" s="3" t="s">
        <v>139</v>
      </c>
      <c r="E14" s="3" t="s">
        <v>297</v>
      </c>
      <c r="F14" s="3" t="s">
        <v>106</v>
      </c>
      <c r="G14" s="3" t="s">
        <v>50</v>
      </c>
      <c r="H14" s="3" t="s">
        <v>15</v>
      </c>
      <c r="I14" s="3" t="s">
        <v>16</v>
      </c>
      <c r="J14" s="3">
        <v>21</v>
      </c>
      <c r="K14" s="3">
        <v>744</v>
      </c>
      <c r="L14" s="3">
        <v>15624</v>
      </c>
    </row>
    <row r="15" spans="1:13">
      <c r="A15" s="3" t="s">
        <v>51</v>
      </c>
      <c r="B15" s="25">
        <v>46176</v>
      </c>
      <c r="C15" s="3" t="s">
        <v>108</v>
      </c>
      <c r="D15" s="3" t="s">
        <v>44</v>
      </c>
      <c r="E15" s="3" t="s">
        <v>224</v>
      </c>
      <c r="F15" s="3" t="s">
        <v>106</v>
      </c>
      <c r="G15" s="3" t="s">
        <v>41</v>
      </c>
      <c r="H15" s="3" t="s">
        <v>33</v>
      </c>
      <c r="I15" s="3" t="s">
        <v>23</v>
      </c>
      <c r="J15" s="3">
        <v>10</v>
      </c>
      <c r="K15" s="3">
        <v>399</v>
      </c>
      <c r="L15" s="3">
        <v>3990</v>
      </c>
    </row>
    <row r="16" spans="1:13">
      <c r="A16" s="3" t="s">
        <v>183</v>
      </c>
      <c r="B16" s="25">
        <v>46176</v>
      </c>
      <c r="C16" s="3" t="s">
        <v>11</v>
      </c>
      <c r="D16" s="3" t="s">
        <v>120</v>
      </c>
      <c r="E16" s="3" t="s">
        <v>327</v>
      </c>
      <c r="F16" s="3" t="s">
        <v>36</v>
      </c>
      <c r="G16" s="3" t="s">
        <v>21</v>
      </c>
      <c r="H16" s="3" t="s">
        <v>15</v>
      </c>
      <c r="I16" s="3" t="s">
        <v>16</v>
      </c>
      <c r="J16" s="3">
        <v>1</v>
      </c>
      <c r="K16" s="3">
        <v>757</v>
      </c>
      <c r="L16" s="3">
        <v>757</v>
      </c>
    </row>
    <row r="17" spans="1:12">
      <c r="A17" s="3" t="s">
        <v>69</v>
      </c>
      <c r="B17" s="25">
        <v>46177</v>
      </c>
      <c r="C17" s="3" t="s">
        <v>44</v>
      </c>
      <c r="D17" s="3" t="s">
        <v>44</v>
      </c>
      <c r="E17" s="3" t="s">
        <v>70</v>
      </c>
      <c r="F17" s="3" t="s">
        <v>71</v>
      </c>
      <c r="G17" s="3" t="s">
        <v>50</v>
      </c>
      <c r="H17" s="3" t="s">
        <v>42</v>
      </c>
      <c r="I17" s="3" t="s">
        <v>23</v>
      </c>
      <c r="J17" s="3">
        <v>10</v>
      </c>
      <c r="K17" s="3">
        <v>417</v>
      </c>
      <c r="L17" s="3">
        <v>4170</v>
      </c>
    </row>
    <row r="18" spans="1:12">
      <c r="A18" s="3" t="s">
        <v>87</v>
      </c>
      <c r="B18" s="25">
        <v>46177</v>
      </c>
      <c r="C18" s="3" t="s">
        <v>88</v>
      </c>
      <c r="D18" s="3" t="s">
        <v>25</v>
      </c>
      <c r="E18" s="3" t="s">
        <v>89</v>
      </c>
      <c r="F18" s="3" t="s">
        <v>90</v>
      </c>
      <c r="G18" s="3" t="s">
        <v>50</v>
      </c>
      <c r="H18" s="3" t="s">
        <v>28</v>
      </c>
      <c r="I18" s="3" t="s">
        <v>23</v>
      </c>
      <c r="J18" s="3">
        <v>1</v>
      </c>
      <c r="K18" s="3">
        <v>288</v>
      </c>
      <c r="L18" s="3">
        <v>288</v>
      </c>
    </row>
    <row r="19" spans="1:12">
      <c r="A19" s="3" t="s">
        <v>69</v>
      </c>
      <c r="B19" s="25">
        <v>46177</v>
      </c>
      <c r="C19" s="3" t="s">
        <v>52</v>
      </c>
      <c r="D19" s="3" t="s">
        <v>25</v>
      </c>
      <c r="E19" s="3" t="s">
        <v>53</v>
      </c>
      <c r="F19" s="3" t="s">
        <v>54</v>
      </c>
      <c r="G19" s="3" t="s">
        <v>50</v>
      </c>
      <c r="H19" s="3" t="s">
        <v>33</v>
      </c>
      <c r="I19" s="3" t="s">
        <v>23</v>
      </c>
      <c r="J19" s="3">
        <v>12</v>
      </c>
      <c r="K19" s="3">
        <v>406</v>
      </c>
      <c r="L19" s="3">
        <v>4872</v>
      </c>
    </row>
    <row r="20" spans="1:12">
      <c r="A20" s="3" t="s">
        <v>69</v>
      </c>
      <c r="B20" s="25">
        <v>46177</v>
      </c>
      <c r="C20" s="3" t="s">
        <v>110</v>
      </c>
      <c r="D20" s="3" t="s">
        <v>95</v>
      </c>
      <c r="E20" s="3" t="s">
        <v>195</v>
      </c>
      <c r="F20" s="3" t="s">
        <v>196</v>
      </c>
      <c r="G20" s="3" t="s">
        <v>21</v>
      </c>
      <c r="H20" s="3" t="s">
        <v>22</v>
      </c>
      <c r="I20" s="3" t="s">
        <v>23</v>
      </c>
      <c r="J20" s="3">
        <v>25</v>
      </c>
      <c r="K20" s="3">
        <v>422</v>
      </c>
      <c r="L20" s="3">
        <v>10550</v>
      </c>
    </row>
    <row r="21" spans="1:12">
      <c r="A21" s="3" t="s">
        <v>69</v>
      </c>
      <c r="B21" s="25">
        <v>46177</v>
      </c>
      <c r="C21" s="3" t="s">
        <v>95</v>
      </c>
      <c r="D21" s="3" t="s">
        <v>95</v>
      </c>
      <c r="E21" s="3" t="s">
        <v>96</v>
      </c>
      <c r="F21" s="3" t="s">
        <v>97</v>
      </c>
      <c r="G21" s="3" t="s">
        <v>21</v>
      </c>
      <c r="H21" s="3" t="s">
        <v>22</v>
      </c>
      <c r="I21" s="3" t="s">
        <v>23</v>
      </c>
      <c r="J21" s="3">
        <v>2</v>
      </c>
      <c r="K21" s="3">
        <v>402</v>
      </c>
      <c r="L21" s="3">
        <v>804</v>
      </c>
    </row>
    <row r="22" spans="1:12">
      <c r="A22" s="3" t="s">
        <v>313</v>
      </c>
      <c r="B22" s="25">
        <v>46177</v>
      </c>
      <c r="C22" s="3" t="s">
        <v>73</v>
      </c>
      <c r="D22" s="3" t="s">
        <v>44</v>
      </c>
      <c r="E22" s="3" t="s">
        <v>210</v>
      </c>
      <c r="F22" s="3" t="s">
        <v>131</v>
      </c>
      <c r="G22" s="3" t="s">
        <v>32</v>
      </c>
      <c r="H22" s="3" t="s">
        <v>33</v>
      </c>
      <c r="I22" s="3" t="s">
        <v>23</v>
      </c>
      <c r="J22" s="3">
        <v>8</v>
      </c>
      <c r="K22" s="3">
        <v>380</v>
      </c>
      <c r="L22" s="3">
        <v>3040</v>
      </c>
    </row>
    <row r="23" spans="1:12">
      <c r="A23" s="3" t="s">
        <v>78</v>
      </c>
      <c r="B23" s="25">
        <v>46178</v>
      </c>
      <c r="C23" s="3" t="s">
        <v>44</v>
      </c>
      <c r="D23" s="3" t="s">
        <v>44</v>
      </c>
      <c r="E23" s="3" t="s">
        <v>79</v>
      </c>
      <c r="F23" s="3" t="s">
        <v>80</v>
      </c>
      <c r="G23" s="3" t="s">
        <v>32</v>
      </c>
      <c r="H23" s="3" t="s">
        <v>58</v>
      </c>
      <c r="I23" s="3" t="s">
        <v>23</v>
      </c>
      <c r="J23" s="3">
        <v>16</v>
      </c>
      <c r="K23" s="3">
        <v>451</v>
      </c>
      <c r="L23" s="3">
        <v>7216</v>
      </c>
    </row>
    <row r="24" spans="1:12">
      <c r="A24" s="3" t="s">
        <v>206</v>
      </c>
      <c r="B24" s="25">
        <v>46178</v>
      </c>
      <c r="C24" s="3" t="s">
        <v>139</v>
      </c>
      <c r="D24" s="3" t="s">
        <v>139</v>
      </c>
      <c r="E24" s="3" t="s">
        <v>207</v>
      </c>
      <c r="F24" s="3" t="s">
        <v>196</v>
      </c>
      <c r="G24" s="3" t="s">
        <v>50</v>
      </c>
      <c r="H24" s="3" t="s">
        <v>33</v>
      </c>
      <c r="I24" s="3" t="s">
        <v>23</v>
      </c>
      <c r="J24" s="3">
        <v>17</v>
      </c>
      <c r="K24" s="3">
        <v>401</v>
      </c>
      <c r="L24" s="3">
        <v>6817</v>
      </c>
    </row>
    <row r="25" spans="1:12">
      <c r="A25" s="3" t="s">
        <v>206</v>
      </c>
      <c r="B25" s="25">
        <v>46178</v>
      </c>
      <c r="C25" s="3" t="s">
        <v>88</v>
      </c>
      <c r="D25" s="3" t="s">
        <v>25</v>
      </c>
      <c r="E25" s="3" t="s">
        <v>212</v>
      </c>
      <c r="F25" s="3" t="s">
        <v>20</v>
      </c>
      <c r="G25" s="3" t="s">
        <v>21</v>
      </c>
      <c r="H25" s="3" t="s">
        <v>15</v>
      </c>
      <c r="I25" s="3" t="s">
        <v>16</v>
      </c>
      <c r="J25" s="3">
        <v>5</v>
      </c>
      <c r="K25" s="3">
        <v>738</v>
      </c>
      <c r="L25" s="3">
        <v>3690</v>
      </c>
    </row>
    <row r="26" spans="1:12">
      <c r="A26" s="3" t="s">
        <v>227</v>
      </c>
      <c r="B26" s="25">
        <v>46178</v>
      </c>
      <c r="C26" s="3" t="s">
        <v>88</v>
      </c>
      <c r="D26" s="3" t="s">
        <v>25</v>
      </c>
      <c r="E26" s="3" t="s">
        <v>53</v>
      </c>
      <c r="F26" s="3" t="s">
        <v>54</v>
      </c>
      <c r="G26" s="3" t="s">
        <v>50</v>
      </c>
      <c r="H26" s="3" t="s">
        <v>22</v>
      </c>
      <c r="I26" s="3" t="s">
        <v>23</v>
      </c>
      <c r="J26" s="3">
        <v>6</v>
      </c>
      <c r="K26" s="3">
        <v>425</v>
      </c>
      <c r="L26" s="3">
        <v>2550</v>
      </c>
    </row>
    <row r="27" spans="1:12">
      <c r="A27" s="3" t="s">
        <v>78</v>
      </c>
      <c r="B27" s="25">
        <v>46178</v>
      </c>
      <c r="C27" s="3" t="s">
        <v>52</v>
      </c>
      <c r="D27" s="3" t="s">
        <v>25</v>
      </c>
      <c r="E27" s="3" t="s">
        <v>214</v>
      </c>
      <c r="F27" s="3" t="s">
        <v>77</v>
      </c>
      <c r="G27" s="3" t="s">
        <v>21</v>
      </c>
      <c r="H27" s="3" t="s">
        <v>22</v>
      </c>
      <c r="I27" s="3" t="s">
        <v>23</v>
      </c>
      <c r="J27" s="3">
        <v>7</v>
      </c>
      <c r="K27" s="3">
        <v>408</v>
      </c>
      <c r="L27" s="3">
        <v>2856</v>
      </c>
    </row>
    <row r="28" spans="1:12">
      <c r="A28" s="3" t="s">
        <v>78</v>
      </c>
      <c r="B28" s="25">
        <v>46178</v>
      </c>
      <c r="C28" s="3" t="s">
        <v>44</v>
      </c>
      <c r="D28" s="3" t="s">
        <v>44</v>
      </c>
      <c r="E28" s="3" t="s">
        <v>299</v>
      </c>
      <c r="F28" s="3" t="s">
        <v>300</v>
      </c>
      <c r="G28" s="3" t="s">
        <v>50</v>
      </c>
      <c r="H28" s="3" t="s">
        <v>58</v>
      </c>
      <c r="I28" s="3" t="s">
        <v>23</v>
      </c>
      <c r="J28" s="3">
        <v>4</v>
      </c>
      <c r="K28" s="3">
        <v>478</v>
      </c>
      <c r="L28" s="3">
        <v>1912</v>
      </c>
    </row>
    <row r="29" spans="1:12">
      <c r="A29" s="3" t="s">
        <v>206</v>
      </c>
      <c r="B29" s="25">
        <v>46178</v>
      </c>
      <c r="C29" s="3" t="s">
        <v>88</v>
      </c>
      <c r="D29" s="3" t="s">
        <v>25</v>
      </c>
      <c r="E29" s="3" t="s">
        <v>281</v>
      </c>
      <c r="F29" s="3" t="s">
        <v>131</v>
      </c>
      <c r="G29" s="3" t="s">
        <v>32</v>
      </c>
      <c r="H29" s="3" t="s">
        <v>15</v>
      </c>
      <c r="I29" s="3" t="s">
        <v>16</v>
      </c>
      <c r="J29" s="3">
        <v>14</v>
      </c>
      <c r="K29" s="3">
        <v>747</v>
      </c>
      <c r="L29" s="3">
        <v>10458</v>
      </c>
    </row>
    <row r="30" spans="1:12">
      <c r="A30" s="3" t="s">
        <v>246</v>
      </c>
      <c r="B30" s="25">
        <v>46179</v>
      </c>
      <c r="C30" s="3" t="s">
        <v>38</v>
      </c>
      <c r="D30" s="3" t="s">
        <v>139</v>
      </c>
      <c r="E30" s="3" t="s">
        <v>247</v>
      </c>
      <c r="F30" s="3" t="s">
        <v>106</v>
      </c>
      <c r="G30" s="3" t="s">
        <v>41</v>
      </c>
      <c r="H30" s="3" t="s">
        <v>33</v>
      </c>
      <c r="I30" s="3" t="s">
        <v>23</v>
      </c>
      <c r="J30" s="3">
        <v>10</v>
      </c>
      <c r="K30" s="3">
        <v>381</v>
      </c>
      <c r="L30" s="3">
        <v>3810</v>
      </c>
    </row>
    <row r="31" spans="1:12">
      <c r="A31" s="3" t="s">
        <v>265</v>
      </c>
      <c r="B31" s="25">
        <v>46179</v>
      </c>
      <c r="C31" s="3" t="s">
        <v>139</v>
      </c>
      <c r="D31" s="3" t="s">
        <v>139</v>
      </c>
      <c r="E31" s="3" t="s">
        <v>207</v>
      </c>
      <c r="F31" s="3" t="s">
        <v>196</v>
      </c>
      <c r="G31" s="3" t="s">
        <v>50</v>
      </c>
      <c r="H31" s="3" t="s">
        <v>58</v>
      </c>
      <c r="I31" s="3" t="s">
        <v>23</v>
      </c>
      <c r="J31" s="3">
        <v>20</v>
      </c>
      <c r="K31" s="3">
        <v>469</v>
      </c>
      <c r="L31" s="3">
        <v>9380</v>
      </c>
    </row>
    <row r="32" spans="1:12">
      <c r="A32" s="3" t="s">
        <v>310</v>
      </c>
      <c r="B32" s="25">
        <v>46179</v>
      </c>
      <c r="C32" s="3" t="s">
        <v>52</v>
      </c>
      <c r="D32" s="3" t="s">
        <v>25</v>
      </c>
      <c r="E32" s="3" t="s">
        <v>181</v>
      </c>
      <c r="F32" s="3" t="s">
        <v>131</v>
      </c>
      <c r="G32" s="3" t="s">
        <v>41</v>
      </c>
      <c r="H32" s="3" t="s">
        <v>28</v>
      </c>
      <c r="I32" s="3" t="s">
        <v>23</v>
      </c>
      <c r="J32" s="3">
        <v>7</v>
      </c>
      <c r="K32" s="3">
        <v>278</v>
      </c>
      <c r="L32" s="3">
        <v>1946</v>
      </c>
    </row>
    <row r="33" spans="1:12">
      <c r="A33" s="3" t="s">
        <v>37</v>
      </c>
      <c r="B33" s="25">
        <v>46180</v>
      </c>
      <c r="C33" s="3" t="s">
        <v>38</v>
      </c>
      <c r="D33" s="3" t="s">
        <v>139</v>
      </c>
      <c r="E33" s="3" t="s">
        <v>39</v>
      </c>
      <c r="F33" s="3" t="s">
        <v>40</v>
      </c>
      <c r="G33" s="3" t="s">
        <v>41</v>
      </c>
      <c r="H33" s="3" t="s">
        <v>42</v>
      </c>
      <c r="I33" s="3" t="s">
        <v>23</v>
      </c>
      <c r="J33" s="3">
        <v>12</v>
      </c>
      <c r="K33" s="3">
        <v>425</v>
      </c>
      <c r="L33" s="3">
        <v>5100</v>
      </c>
    </row>
    <row r="34" spans="1:12">
      <c r="A34" s="3" t="s">
        <v>171</v>
      </c>
      <c r="B34" s="25">
        <v>46180</v>
      </c>
      <c r="C34" s="3" t="s">
        <v>120</v>
      </c>
      <c r="D34" s="3" t="s">
        <v>120</v>
      </c>
      <c r="E34" s="3" t="s">
        <v>172</v>
      </c>
      <c r="F34" s="3" t="s">
        <v>40</v>
      </c>
      <c r="G34" s="3" t="s">
        <v>21</v>
      </c>
      <c r="H34" s="3" t="s">
        <v>22</v>
      </c>
      <c r="I34" s="3" t="s">
        <v>23</v>
      </c>
      <c r="J34" s="3">
        <v>4</v>
      </c>
      <c r="K34" s="3">
        <v>425</v>
      </c>
      <c r="L34" s="3">
        <v>1700</v>
      </c>
    </row>
    <row r="35" spans="1:12">
      <c r="A35" s="3" t="s">
        <v>171</v>
      </c>
      <c r="B35" s="25">
        <v>46180</v>
      </c>
      <c r="C35" s="3" t="s">
        <v>38</v>
      </c>
      <c r="D35" s="3" t="s">
        <v>139</v>
      </c>
      <c r="E35" s="3" t="s">
        <v>39</v>
      </c>
      <c r="F35" s="3" t="s">
        <v>40</v>
      </c>
      <c r="G35" s="3" t="s">
        <v>41</v>
      </c>
      <c r="H35" s="3" t="s">
        <v>42</v>
      </c>
      <c r="I35" s="3" t="s">
        <v>23</v>
      </c>
      <c r="J35" s="3">
        <v>18</v>
      </c>
      <c r="K35" s="3">
        <v>419</v>
      </c>
      <c r="L35" s="3">
        <v>7542</v>
      </c>
    </row>
    <row r="36" spans="1:12">
      <c r="A36" s="3" t="s">
        <v>37</v>
      </c>
      <c r="B36" s="25">
        <v>46180</v>
      </c>
      <c r="C36" s="3" t="s">
        <v>108</v>
      </c>
      <c r="D36" s="3" t="s">
        <v>44</v>
      </c>
      <c r="E36" s="3" t="s">
        <v>224</v>
      </c>
      <c r="F36" s="3" t="s">
        <v>106</v>
      </c>
      <c r="G36" s="3" t="s">
        <v>41</v>
      </c>
      <c r="H36" s="3" t="s">
        <v>15</v>
      </c>
      <c r="I36" s="3" t="s">
        <v>16</v>
      </c>
      <c r="J36" s="3">
        <v>3</v>
      </c>
      <c r="K36" s="3">
        <v>742</v>
      </c>
      <c r="L36" s="3">
        <v>2226</v>
      </c>
    </row>
    <row r="37" spans="1:12">
      <c r="A37" s="3" t="s">
        <v>37</v>
      </c>
      <c r="B37" s="25">
        <v>46180</v>
      </c>
      <c r="C37" s="3" t="s">
        <v>88</v>
      </c>
      <c r="D37" s="3" t="s">
        <v>25</v>
      </c>
      <c r="E37" s="3" t="s">
        <v>163</v>
      </c>
      <c r="F37" s="3" t="s">
        <v>164</v>
      </c>
      <c r="G37" s="3" t="s">
        <v>32</v>
      </c>
      <c r="H37" s="3" t="s">
        <v>22</v>
      </c>
      <c r="I37" s="3" t="s">
        <v>23</v>
      </c>
      <c r="J37" s="3">
        <v>16</v>
      </c>
      <c r="K37" s="3">
        <v>425</v>
      </c>
      <c r="L37" s="3">
        <v>6800</v>
      </c>
    </row>
    <row r="38" spans="1:12">
      <c r="A38" s="3" t="s">
        <v>309</v>
      </c>
      <c r="B38" s="25">
        <v>46180</v>
      </c>
      <c r="C38" s="3" t="s">
        <v>88</v>
      </c>
      <c r="D38" s="3" t="s">
        <v>25</v>
      </c>
      <c r="E38" s="3" t="s">
        <v>181</v>
      </c>
      <c r="F38" s="3" t="s">
        <v>131</v>
      </c>
      <c r="G38" s="3" t="s">
        <v>41</v>
      </c>
      <c r="H38" s="3" t="s">
        <v>15</v>
      </c>
      <c r="I38" s="3" t="s">
        <v>16</v>
      </c>
      <c r="J38" s="3">
        <v>8</v>
      </c>
      <c r="K38" s="3">
        <v>750</v>
      </c>
      <c r="L38" s="3">
        <v>6000</v>
      </c>
    </row>
    <row r="39" spans="1:12">
      <c r="A39" s="3" t="s">
        <v>171</v>
      </c>
      <c r="B39" s="25">
        <v>46180</v>
      </c>
      <c r="C39" s="3" t="s">
        <v>44</v>
      </c>
      <c r="D39" s="3" t="s">
        <v>44</v>
      </c>
      <c r="E39" s="3" t="s">
        <v>186</v>
      </c>
      <c r="F39" s="3" t="s">
        <v>36</v>
      </c>
      <c r="G39" s="3" t="s">
        <v>21</v>
      </c>
      <c r="H39" s="3" t="s">
        <v>58</v>
      </c>
      <c r="I39" s="3" t="s">
        <v>23</v>
      </c>
      <c r="J39" s="3">
        <v>7</v>
      </c>
      <c r="K39" s="3">
        <v>468</v>
      </c>
      <c r="L39" s="3">
        <v>3276</v>
      </c>
    </row>
    <row r="40" spans="1:12">
      <c r="A40" s="3" t="s">
        <v>199</v>
      </c>
      <c r="B40" s="25">
        <v>46181</v>
      </c>
      <c r="C40" s="3" t="s">
        <v>139</v>
      </c>
      <c r="D40" s="3" t="s">
        <v>139</v>
      </c>
      <c r="E40" s="3" t="s">
        <v>200</v>
      </c>
      <c r="F40" s="3" t="s">
        <v>100</v>
      </c>
      <c r="G40" s="3" t="s">
        <v>21</v>
      </c>
      <c r="H40" s="3" t="s">
        <v>33</v>
      </c>
      <c r="I40" s="3" t="s">
        <v>23</v>
      </c>
      <c r="J40" s="3">
        <v>18</v>
      </c>
      <c r="K40" s="3">
        <v>386</v>
      </c>
      <c r="L40" s="3">
        <v>6948</v>
      </c>
    </row>
    <row r="41" spans="1:12">
      <c r="A41" s="3" t="s">
        <v>225</v>
      </c>
      <c r="B41" s="25">
        <v>46181</v>
      </c>
      <c r="C41" s="3" t="s">
        <v>73</v>
      </c>
      <c r="D41" s="3" t="s">
        <v>44</v>
      </c>
      <c r="E41" s="3" t="s">
        <v>210</v>
      </c>
      <c r="F41" s="3" t="s">
        <v>131</v>
      </c>
      <c r="G41" s="3" t="s">
        <v>32</v>
      </c>
      <c r="H41" s="3" t="s">
        <v>15</v>
      </c>
      <c r="I41" s="3" t="s">
        <v>16</v>
      </c>
      <c r="J41" s="3">
        <v>3</v>
      </c>
      <c r="K41" s="3">
        <v>736</v>
      </c>
      <c r="L41" s="3">
        <v>2208</v>
      </c>
    </row>
    <row r="42" spans="1:12">
      <c r="A42" s="3" t="s">
        <v>225</v>
      </c>
      <c r="B42" s="25">
        <v>46181</v>
      </c>
      <c r="C42" s="3" t="s">
        <v>120</v>
      </c>
      <c r="D42" s="3" t="s">
        <v>120</v>
      </c>
      <c r="E42" s="3" t="s">
        <v>258</v>
      </c>
      <c r="F42" s="3" t="s">
        <v>100</v>
      </c>
      <c r="G42" s="3" t="s">
        <v>41</v>
      </c>
      <c r="H42" s="3" t="s">
        <v>42</v>
      </c>
      <c r="I42" s="3" t="s">
        <v>23</v>
      </c>
      <c r="J42" s="3">
        <v>18</v>
      </c>
      <c r="K42" s="3">
        <v>429</v>
      </c>
      <c r="L42" s="3">
        <v>7722</v>
      </c>
    </row>
    <row r="43" spans="1:12">
      <c r="A43" s="3" t="s">
        <v>314</v>
      </c>
      <c r="B43" s="25">
        <v>46181</v>
      </c>
      <c r="C43" s="3" t="s">
        <v>30</v>
      </c>
      <c r="D43" s="3" t="s">
        <v>44</v>
      </c>
      <c r="E43" s="3" t="s">
        <v>273</v>
      </c>
      <c r="F43" s="3" t="s">
        <v>71</v>
      </c>
      <c r="G43" s="3" t="s">
        <v>41</v>
      </c>
      <c r="H43" s="3" t="s">
        <v>15</v>
      </c>
      <c r="I43" s="3" t="s">
        <v>16</v>
      </c>
      <c r="J43" s="3">
        <v>20</v>
      </c>
      <c r="K43" s="3">
        <v>737</v>
      </c>
      <c r="L43" s="3">
        <v>14740</v>
      </c>
    </row>
    <row r="44" spans="1:12">
      <c r="A44" s="3" t="s">
        <v>314</v>
      </c>
      <c r="B44" s="25">
        <v>46181</v>
      </c>
      <c r="C44" s="3" t="s">
        <v>25</v>
      </c>
      <c r="D44" s="3" t="s">
        <v>25</v>
      </c>
      <c r="E44" s="3" t="s">
        <v>26</v>
      </c>
      <c r="F44" s="3" t="s">
        <v>27</v>
      </c>
      <c r="G44" s="3" t="s">
        <v>14</v>
      </c>
      <c r="H44" s="3" t="s">
        <v>28</v>
      </c>
      <c r="I44" s="3" t="s">
        <v>23</v>
      </c>
      <c r="J44" s="3">
        <v>3</v>
      </c>
      <c r="K44" s="3">
        <v>290</v>
      </c>
      <c r="L44" s="3">
        <v>870</v>
      </c>
    </row>
    <row r="45" spans="1:12">
      <c r="A45" s="3" t="s">
        <v>199</v>
      </c>
      <c r="B45" s="25">
        <v>46181</v>
      </c>
      <c r="C45" s="3" t="s">
        <v>120</v>
      </c>
      <c r="D45" s="3" t="s">
        <v>120</v>
      </c>
      <c r="E45" s="3" t="s">
        <v>278</v>
      </c>
      <c r="F45" s="3" t="s">
        <v>242</v>
      </c>
      <c r="G45" s="3" t="s">
        <v>32</v>
      </c>
      <c r="H45" s="3" t="s">
        <v>28</v>
      </c>
      <c r="I45" s="3" t="s">
        <v>23</v>
      </c>
      <c r="J45" s="3">
        <v>6</v>
      </c>
      <c r="K45" s="3">
        <v>292</v>
      </c>
      <c r="L45" s="3">
        <v>1752</v>
      </c>
    </row>
    <row r="46" spans="1:12">
      <c r="A46" s="3" t="s">
        <v>199</v>
      </c>
      <c r="B46" s="25">
        <v>46181</v>
      </c>
      <c r="C46" s="3" t="s">
        <v>52</v>
      </c>
      <c r="D46" s="3" t="s">
        <v>25</v>
      </c>
      <c r="E46" s="3" t="s">
        <v>169</v>
      </c>
      <c r="F46" s="3" t="s">
        <v>71</v>
      </c>
      <c r="G46" s="3" t="s">
        <v>32</v>
      </c>
      <c r="H46" s="3" t="s">
        <v>33</v>
      </c>
      <c r="I46" s="3" t="s">
        <v>23</v>
      </c>
      <c r="J46" s="3">
        <v>14</v>
      </c>
      <c r="K46" s="3">
        <v>392</v>
      </c>
      <c r="L46" s="3">
        <v>5488</v>
      </c>
    </row>
    <row r="47" spans="1:12">
      <c r="A47" s="3" t="s">
        <v>59</v>
      </c>
      <c r="B47" s="25">
        <v>46182</v>
      </c>
      <c r="C47" s="3" t="s">
        <v>44</v>
      </c>
      <c r="D47" s="3" t="s">
        <v>44</v>
      </c>
      <c r="E47" s="3" t="s">
        <v>60</v>
      </c>
      <c r="F47" s="3" t="s">
        <v>49</v>
      </c>
      <c r="G47" s="3" t="s">
        <v>32</v>
      </c>
      <c r="H47" s="3" t="s">
        <v>28</v>
      </c>
      <c r="I47" s="3" t="s">
        <v>23</v>
      </c>
      <c r="J47" s="3">
        <v>7</v>
      </c>
      <c r="K47" s="3">
        <v>280</v>
      </c>
      <c r="L47" s="3">
        <v>1960</v>
      </c>
    </row>
    <row r="48" spans="1:12">
      <c r="A48" s="3" t="s">
        <v>256</v>
      </c>
      <c r="B48" s="25">
        <v>46182</v>
      </c>
      <c r="C48" s="3" t="s">
        <v>30</v>
      </c>
      <c r="D48" s="3" t="s">
        <v>44</v>
      </c>
      <c r="E48" s="3" t="s">
        <v>174</v>
      </c>
      <c r="F48" s="3" t="s">
        <v>46</v>
      </c>
      <c r="G48" s="3" t="s">
        <v>21</v>
      </c>
      <c r="H48" s="3" t="s">
        <v>58</v>
      </c>
      <c r="I48" s="3" t="s">
        <v>23</v>
      </c>
      <c r="J48" s="3">
        <v>5</v>
      </c>
      <c r="K48" s="3">
        <v>459</v>
      </c>
      <c r="L48" s="3">
        <v>2295</v>
      </c>
    </row>
    <row r="49" spans="1:13">
      <c r="A49" s="3" t="s">
        <v>59</v>
      </c>
      <c r="B49" s="25">
        <v>46182</v>
      </c>
      <c r="C49" s="3" t="s">
        <v>110</v>
      </c>
      <c r="D49" s="3" t="s">
        <v>95</v>
      </c>
      <c r="E49" s="3" t="s">
        <v>251</v>
      </c>
      <c r="F49" s="3" t="s">
        <v>137</v>
      </c>
      <c r="G49" s="3" t="s">
        <v>50</v>
      </c>
      <c r="H49" s="3" t="s">
        <v>33</v>
      </c>
      <c r="I49" s="3" t="s">
        <v>23</v>
      </c>
      <c r="J49" s="3">
        <v>3</v>
      </c>
      <c r="K49" s="3">
        <v>406</v>
      </c>
      <c r="L49" s="3">
        <v>1218</v>
      </c>
    </row>
    <row r="50" spans="1:13">
      <c r="A50" s="3" t="s">
        <v>291</v>
      </c>
      <c r="B50" s="25">
        <v>46182</v>
      </c>
      <c r="C50" s="3" t="s">
        <v>73</v>
      </c>
      <c r="D50" s="3" t="s">
        <v>44</v>
      </c>
      <c r="E50" s="3" t="s">
        <v>74</v>
      </c>
      <c r="F50" s="3" t="s">
        <v>36</v>
      </c>
      <c r="G50" s="3" t="s">
        <v>41</v>
      </c>
      <c r="H50" s="3" t="s">
        <v>22</v>
      </c>
      <c r="I50" s="3" t="s">
        <v>23</v>
      </c>
      <c r="J50" s="3">
        <v>22</v>
      </c>
      <c r="K50" s="3">
        <v>414</v>
      </c>
      <c r="L50" s="3">
        <v>9108</v>
      </c>
    </row>
    <row r="51" spans="1:13">
      <c r="A51" s="3" t="s">
        <v>256</v>
      </c>
      <c r="B51" s="25">
        <v>46182</v>
      </c>
      <c r="C51" s="3" t="s">
        <v>38</v>
      </c>
      <c r="D51" s="3" t="s">
        <v>139</v>
      </c>
      <c r="E51" s="3" t="s">
        <v>200</v>
      </c>
      <c r="F51" s="3" t="s">
        <v>100</v>
      </c>
      <c r="G51" s="3" t="s">
        <v>21</v>
      </c>
      <c r="H51" s="3" t="s">
        <v>42</v>
      </c>
      <c r="I51" s="3" t="s">
        <v>23</v>
      </c>
      <c r="J51" s="3">
        <v>11</v>
      </c>
      <c r="K51" s="3">
        <v>426</v>
      </c>
      <c r="L51" s="3">
        <v>4686</v>
      </c>
    </row>
    <row r="52" spans="1:13">
      <c r="A52" s="3" t="s">
        <v>230</v>
      </c>
      <c r="B52" s="25">
        <v>46183</v>
      </c>
      <c r="C52" s="3" t="s">
        <v>38</v>
      </c>
      <c r="D52" s="3" t="s">
        <v>139</v>
      </c>
      <c r="E52" s="3" t="s">
        <v>127</v>
      </c>
      <c r="F52" s="3" t="s">
        <v>128</v>
      </c>
      <c r="G52" s="3" t="s">
        <v>41</v>
      </c>
      <c r="H52" s="3" t="s">
        <v>15</v>
      </c>
      <c r="I52" s="3" t="s">
        <v>16</v>
      </c>
      <c r="J52" s="3">
        <v>14</v>
      </c>
      <c r="K52" s="3">
        <v>749</v>
      </c>
      <c r="L52" s="3">
        <v>10486</v>
      </c>
    </row>
    <row r="53" spans="1:13">
      <c r="A53" s="3" t="s">
        <v>230</v>
      </c>
      <c r="B53" s="25">
        <v>46183</v>
      </c>
      <c r="C53" s="3" t="s">
        <v>38</v>
      </c>
      <c r="D53" s="3" t="s">
        <v>139</v>
      </c>
      <c r="E53" s="3" t="s">
        <v>200</v>
      </c>
      <c r="F53" s="3" t="s">
        <v>100</v>
      </c>
      <c r="G53" s="3" t="s">
        <v>21</v>
      </c>
      <c r="H53" s="3" t="s">
        <v>42</v>
      </c>
      <c r="I53" s="3" t="s">
        <v>23</v>
      </c>
      <c r="J53" s="3">
        <v>10</v>
      </c>
      <c r="K53" s="3">
        <v>428</v>
      </c>
      <c r="L53" s="3">
        <v>4280</v>
      </c>
    </row>
    <row r="54" spans="1:13">
      <c r="A54" s="3" t="s">
        <v>230</v>
      </c>
      <c r="B54" s="25">
        <v>46183</v>
      </c>
      <c r="C54" s="3" t="s">
        <v>38</v>
      </c>
      <c r="D54" s="3" t="s">
        <v>139</v>
      </c>
      <c r="E54" s="3" t="s">
        <v>127</v>
      </c>
      <c r="F54" s="3" t="s">
        <v>128</v>
      </c>
      <c r="G54" s="3" t="s">
        <v>41</v>
      </c>
      <c r="H54" s="3" t="s">
        <v>15</v>
      </c>
      <c r="I54" s="3" t="s">
        <v>16</v>
      </c>
      <c r="J54" s="4"/>
      <c r="K54" s="3">
        <v>761</v>
      </c>
      <c r="L54" s="4"/>
      <c r="M54" s="27" t="s">
        <v>334</v>
      </c>
    </row>
    <row r="55" spans="1:13">
      <c r="A55" s="3" t="s">
        <v>230</v>
      </c>
      <c r="B55" s="25">
        <v>46183</v>
      </c>
      <c r="C55" s="3" t="s">
        <v>38</v>
      </c>
      <c r="D55" s="3" t="s">
        <v>139</v>
      </c>
      <c r="E55" s="3" t="s">
        <v>200</v>
      </c>
      <c r="F55" s="3" t="s">
        <v>100</v>
      </c>
      <c r="G55" s="3" t="s">
        <v>21</v>
      </c>
      <c r="H55" s="3" t="s">
        <v>22</v>
      </c>
      <c r="I55" s="3" t="s">
        <v>23</v>
      </c>
      <c r="J55" s="3">
        <v>23</v>
      </c>
      <c r="K55" s="3">
        <v>421</v>
      </c>
      <c r="L55" s="3">
        <v>9683</v>
      </c>
    </row>
    <row r="56" spans="1:13">
      <c r="A56" s="3" t="s">
        <v>280</v>
      </c>
      <c r="B56" s="25">
        <v>46183</v>
      </c>
      <c r="C56" s="3" t="s">
        <v>88</v>
      </c>
      <c r="D56" s="3" t="s">
        <v>25</v>
      </c>
      <c r="E56" s="3" t="s">
        <v>281</v>
      </c>
      <c r="F56" s="3" t="s">
        <v>131</v>
      </c>
      <c r="G56" s="3" t="s">
        <v>32</v>
      </c>
      <c r="H56" s="3" t="s">
        <v>42</v>
      </c>
      <c r="I56" s="3" t="s">
        <v>23</v>
      </c>
      <c r="J56" s="3">
        <v>7</v>
      </c>
      <c r="K56" s="3">
        <v>428</v>
      </c>
      <c r="L56" s="3">
        <v>2996</v>
      </c>
    </row>
    <row r="57" spans="1:13">
      <c r="A57" s="3" t="s">
        <v>280</v>
      </c>
      <c r="B57" s="25">
        <v>46183</v>
      </c>
      <c r="C57" s="3" t="s">
        <v>108</v>
      </c>
      <c r="D57" s="3" t="s">
        <v>44</v>
      </c>
      <c r="E57" s="3" t="s">
        <v>151</v>
      </c>
      <c r="F57" s="3" t="s">
        <v>152</v>
      </c>
      <c r="G57" s="3" t="s">
        <v>50</v>
      </c>
      <c r="H57" s="3" t="s">
        <v>42</v>
      </c>
      <c r="I57" s="3" t="s">
        <v>23</v>
      </c>
      <c r="J57" s="3">
        <v>6</v>
      </c>
      <c r="K57" s="3">
        <v>440</v>
      </c>
      <c r="L57" s="3">
        <v>2640</v>
      </c>
    </row>
    <row r="58" spans="1:13">
      <c r="A58" s="3" t="s">
        <v>192</v>
      </c>
      <c r="B58" s="25">
        <v>46184</v>
      </c>
      <c r="C58" s="3" t="s">
        <v>38</v>
      </c>
      <c r="D58" s="3" t="s">
        <v>139</v>
      </c>
      <c r="E58" s="3" t="s">
        <v>62</v>
      </c>
      <c r="F58" s="3" t="s">
        <v>63</v>
      </c>
      <c r="G58" s="3" t="s">
        <v>14</v>
      </c>
      <c r="H58" s="3" t="s">
        <v>28</v>
      </c>
      <c r="I58" s="3" t="s">
        <v>23</v>
      </c>
      <c r="J58" s="3">
        <v>25</v>
      </c>
      <c r="K58" s="3">
        <v>284</v>
      </c>
      <c r="L58" s="3">
        <v>7100</v>
      </c>
    </row>
    <row r="59" spans="1:13">
      <c r="A59" s="3" t="s">
        <v>231</v>
      </c>
      <c r="B59" s="25">
        <v>46184</v>
      </c>
      <c r="C59" s="3" t="s">
        <v>108</v>
      </c>
      <c r="D59" s="3" t="s">
        <v>44</v>
      </c>
      <c r="E59" s="3" t="s">
        <v>74</v>
      </c>
      <c r="F59" s="3" t="s">
        <v>36</v>
      </c>
      <c r="G59" s="3" t="s">
        <v>41</v>
      </c>
      <c r="H59" s="3" t="s">
        <v>22</v>
      </c>
      <c r="I59" s="3" t="s">
        <v>23</v>
      </c>
      <c r="J59" s="3">
        <v>8</v>
      </c>
      <c r="K59" s="3">
        <v>420</v>
      </c>
      <c r="L59" s="3">
        <v>3360</v>
      </c>
    </row>
    <row r="60" spans="1:13">
      <c r="A60" s="3" t="s">
        <v>192</v>
      </c>
      <c r="B60" s="25">
        <v>46184</v>
      </c>
      <c r="C60" s="3" t="s">
        <v>38</v>
      </c>
      <c r="D60" s="3" t="s">
        <v>139</v>
      </c>
      <c r="E60" s="3" t="s">
        <v>62</v>
      </c>
      <c r="F60" s="3" t="s">
        <v>63</v>
      </c>
      <c r="G60" s="3" t="s">
        <v>14</v>
      </c>
      <c r="H60" s="3" t="s">
        <v>42</v>
      </c>
      <c r="I60" s="3" t="s">
        <v>23</v>
      </c>
      <c r="J60" s="3">
        <v>16</v>
      </c>
      <c r="K60" s="3">
        <v>435</v>
      </c>
      <c r="L60" s="3">
        <v>6960</v>
      </c>
    </row>
    <row r="61" spans="1:13">
      <c r="A61" s="3" t="s">
        <v>192</v>
      </c>
      <c r="B61" s="25">
        <v>46184</v>
      </c>
      <c r="C61" s="3" t="s">
        <v>52</v>
      </c>
      <c r="D61" s="3" t="s">
        <v>25</v>
      </c>
      <c r="E61" s="3" t="s">
        <v>214</v>
      </c>
      <c r="F61" s="3" t="s">
        <v>77</v>
      </c>
      <c r="G61" s="3" t="s">
        <v>21</v>
      </c>
      <c r="H61" s="3" t="s">
        <v>28</v>
      </c>
      <c r="I61" s="3" t="s">
        <v>23</v>
      </c>
      <c r="J61" s="3">
        <v>3</v>
      </c>
      <c r="K61" s="3">
        <v>277</v>
      </c>
      <c r="L61" s="3">
        <v>831</v>
      </c>
    </row>
    <row r="62" spans="1:13">
      <c r="A62" s="3" t="s">
        <v>231</v>
      </c>
      <c r="B62" s="25">
        <v>46184</v>
      </c>
      <c r="C62" s="3" t="s">
        <v>73</v>
      </c>
      <c r="D62" s="3" t="s">
        <v>44</v>
      </c>
      <c r="E62" s="3" t="s">
        <v>186</v>
      </c>
      <c r="F62" s="3" t="s">
        <v>36</v>
      </c>
      <c r="G62" s="3" t="s">
        <v>21</v>
      </c>
      <c r="H62" s="3" t="s">
        <v>22</v>
      </c>
      <c r="I62" s="3" t="s">
        <v>23</v>
      </c>
      <c r="J62" s="3">
        <v>2</v>
      </c>
      <c r="K62" s="3">
        <v>411</v>
      </c>
      <c r="L62" s="3">
        <v>822</v>
      </c>
    </row>
    <row r="63" spans="1:13">
      <c r="A63" s="3" t="s">
        <v>129</v>
      </c>
      <c r="B63" s="25">
        <v>46185</v>
      </c>
      <c r="C63" s="3" t="s">
        <v>18</v>
      </c>
      <c r="D63" s="3" t="s">
        <v>95</v>
      </c>
      <c r="E63" s="3" t="s">
        <v>130</v>
      </c>
      <c r="F63" s="3" t="s">
        <v>131</v>
      </c>
      <c r="G63" s="3" t="s">
        <v>50</v>
      </c>
      <c r="H63" s="3" t="s">
        <v>28</v>
      </c>
      <c r="I63" s="3" t="s">
        <v>23</v>
      </c>
      <c r="J63" s="3">
        <v>17</v>
      </c>
      <c r="K63" s="3">
        <v>296</v>
      </c>
      <c r="L63" s="3">
        <v>5032</v>
      </c>
    </row>
    <row r="64" spans="1:13">
      <c r="A64" s="3" t="s">
        <v>133</v>
      </c>
      <c r="B64" s="25">
        <v>46185</v>
      </c>
      <c r="C64" s="3" t="s">
        <v>95</v>
      </c>
      <c r="D64" s="3" t="s">
        <v>95</v>
      </c>
      <c r="E64" s="3" t="s">
        <v>96</v>
      </c>
      <c r="F64" s="3" t="s">
        <v>97</v>
      </c>
      <c r="G64" s="3" t="s">
        <v>21</v>
      </c>
      <c r="H64" s="3" t="s">
        <v>33</v>
      </c>
      <c r="I64" s="3" t="s">
        <v>23</v>
      </c>
      <c r="J64" s="3">
        <v>8</v>
      </c>
      <c r="K64" s="3">
        <v>401</v>
      </c>
      <c r="L64" s="3">
        <v>3208</v>
      </c>
    </row>
    <row r="65" spans="1:12">
      <c r="A65" s="3" t="s">
        <v>133</v>
      </c>
      <c r="B65" s="25">
        <v>46185</v>
      </c>
      <c r="C65" s="3" t="s">
        <v>52</v>
      </c>
      <c r="D65" s="3" t="s">
        <v>25</v>
      </c>
      <c r="E65" s="3" t="s">
        <v>169</v>
      </c>
      <c r="F65" s="3" t="s">
        <v>71</v>
      </c>
      <c r="G65" s="3" t="s">
        <v>32</v>
      </c>
      <c r="H65" s="3" t="s">
        <v>42</v>
      </c>
      <c r="I65" s="3" t="s">
        <v>23</v>
      </c>
      <c r="J65" s="3">
        <v>25</v>
      </c>
      <c r="K65" s="3">
        <v>438</v>
      </c>
      <c r="L65" s="3">
        <v>10950</v>
      </c>
    </row>
    <row r="66" spans="1:12">
      <c r="A66" s="3" t="s">
        <v>173</v>
      </c>
      <c r="B66" s="25">
        <v>46186</v>
      </c>
      <c r="C66" s="3" t="s">
        <v>120</v>
      </c>
      <c r="D66" s="3" t="s">
        <v>120</v>
      </c>
      <c r="E66" s="3" t="s">
        <v>68</v>
      </c>
      <c r="F66" s="3" t="s">
        <v>36</v>
      </c>
      <c r="G66" s="3" t="s">
        <v>50</v>
      </c>
      <c r="H66" s="3" t="s">
        <v>22</v>
      </c>
      <c r="I66" s="3" t="s">
        <v>23</v>
      </c>
      <c r="J66" s="3">
        <v>17</v>
      </c>
      <c r="K66" s="3">
        <v>409</v>
      </c>
      <c r="L66" s="3">
        <v>6953</v>
      </c>
    </row>
    <row r="67" spans="1:12">
      <c r="A67" s="3" t="s">
        <v>173</v>
      </c>
      <c r="B67" s="25">
        <v>46186</v>
      </c>
      <c r="C67" s="3" t="s">
        <v>30</v>
      </c>
      <c r="D67" s="3" t="s">
        <v>44</v>
      </c>
      <c r="E67" s="3" t="s">
        <v>186</v>
      </c>
      <c r="F67" s="3" t="s">
        <v>36</v>
      </c>
      <c r="G67" s="3" t="s">
        <v>21</v>
      </c>
      <c r="H67" s="3" t="s">
        <v>42</v>
      </c>
      <c r="I67" s="3" t="s">
        <v>23</v>
      </c>
      <c r="J67" s="3">
        <v>15</v>
      </c>
      <c r="K67" s="3">
        <v>432</v>
      </c>
      <c r="L67" s="3">
        <v>6480</v>
      </c>
    </row>
    <row r="68" spans="1:12">
      <c r="A68" s="3" t="s">
        <v>173</v>
      </c>
      <c r="B68" s="25">
        <v>46186</v>
      </c>
      <c r="C68" s="3" t="s">
        <v>38</v>
      </c>
      <c r="D68" s="3" t="s">
        <v>139</v>
      </c>
      <c r="E68" s="3" t="s">
        <v>127</v>
      </c>
      <c r="F68" s="3" t="s">
        <v>128</v>
      </c>
      <c r="G68" s="3" t="s">
        <v>41</v>
      </c>
      <c r="H68" s="3" t="s">
        <v>58</v>
      </c>
      <c r="I68" s="3" t="s">
        <v>23</v>
      </c>
      <c r="J68" s="3">
        <v>4</v>
      </c>
      <c r="K68" s="3">
        <v>468</v>
      </c>
      <c r="L68" s="3">
        <v>1872</v>
      </c>
    </row>
    <row r="69" spans="1:12">
      <c r="A69" s="3" t="s">
        <v>173</v>
      </c>
      <c r="B69" s="25">
        <v>46186</v>
      </c>
      <c r="C69" s="3" t="s">
        <v>11</v>
      </c>
      <c r="D69" s="3" t="s">
        <v>120</v>
      </c>
      <c r="E69" s="3" t="s">
        <v>258</v>
      </c>
      <c r="F69" s="3" t="s">
        <v>100</v>
      </c>
      <c r="G69" s="3" t="s">
        <v>41</v>
      </c>
      <c r="H69" s="3" t="s">
        <v>15</v>
      </c>
      <c r="I69" s="3" t="s">
        <v>16</v>
      </c>
      <c r="J69" s="3">
        <v>15</v>
      </c>
      <c r="K69" s="3">
        <v>753</v>
      </c>
      <c r="L69" s="3">
        <v>11295</v>
      </c>
    </row>
    <row r="70" spans="1:12">
      <c r="A70" s="3" t="s">
        <v>293</v>
      </c>
      <c r="B70" s="25">
        <v>46186</v>
      </c>
      <c r="C70" s="3" t="s">
        <v>88</v>
      </c>
      <c r="D70" s="3" t="s">
        <v>25</v>
      </c>
      <c r="E70" s="3" t="s">
        <v>89</v>
      </c>
      <c r="F70" s="3" t="s">
        <v>90</v>
      </c>
      <c r="G70" s="3" t="s">
        <v>50</v>
      </c>
      <c r="H70" s="3" t="s">
        <v>33</v>
      </c>
      <c r="I70" s="3" t="s">
        <v>23</v>
      </c>
      <c r="J70" s="3">
        <v>7</v>
      </c>
      <c r="K70" s="3">
        <v>402</v>
      </c>
      <c r="L70" s="3">
        <v>2814</v>
      </c>
    </row>
    <row r="71" spans="1:12">
      <c r="A71" s="3" t="s">
        <v>222</v>
      </c>
      <c r="B71" s="25">
        <v>46187</v>
      </c>
      <c r="C71" s="3" t="s">
        <v>139</v>
      </c>
      <c r="D71" s="3" t="s">
        <v>139</v>
      </c>
      <c r="E71" s="3" t="s">
        <v>223</v>
      </c>
      <c r="F71" s="3" t="s">
        <v>66</v>
      </c>
      <c r="G71" s="3" t="s">
        <v>14</v>
      </c>
      <c r="H71" s="3" t="s">
        <v>15</v>
      </c>
      <c r="I71" s="3" t="s">
        <v>16</v>
      </c>
      <c r="J71" s="3">
        <v>8</v>
      </c>
      <c r="K71" s="3">
        <v>764</v>
      </c>
      <c r="L71" s="3">
        <v>6112</v>
      </c>
    </row>
    <row r="72" spans="1:12">
      <c r="A72" s="3" t="s">
        <v>222</v>
      </c>
      <c r="B72" s="25">
        <v>46187</v>
      </c>
      <c r="C72" s="3" t="s">
        <v>110</v>
      </c>
      <c r="D72" s="3" t="s">
        <v>95</v>
      </c>
      <c r="E72" s="3" t="s">
        <v>294</v>
      </c>
      <c r="F72" s="3" t="s">
        <v>71</v>
      </c>
      <c r="G72" s="3" t="s">
        <v>14</v>
      </c>
      <c r="H72" s="3" t="s">
        <v>28</v>
      </c>
      <c r="I72" s="3" t="s">
        <v>23</v>
      </c>
      <c r="J72" s="3">
        <v>22</v>
      </c>
      <c r="K72" s="3">
        <v>289</v>
      </c>
      <c r="L72" s="3">
        <v>6358</v>
      </c>
    </row>
    <row r="73" spans="1:12">
      <c r="A73" s="3" t="s">
        <v>222</v>
      </c>
      <c r="B73" s="25">
        <v>46187</v>
      </c>
      <c r="C73" s="3" t="s">
        <v>44</v>
      </c>
      <c r="D73" s="3" t="s">
        <v>44</v>
      </c>
      <c r="E73" s="3" t="s">
        <v>276</v>
      </c>
      <c r="F73" s="3" t="s">
        <v>164</v>
      </c>
      <c r="G73" s="3" t="s">
        <v>32</v>
      </c>
      <c r="H73" s="3" t="s">
        <v>58</v>
      </c>
      <c r="I73" s="3" t="s">
        <v>23</v>
      </c>
      <c r="J73" s="3">
        <v>9</v>
      </c>
      <c r="K73" s="3">
        <v>477</v>
      </c>
      <c r="L73" s="3">
        <v>4293</v>
      </c>
    </row>
    <row r="74" spans="1:12">
      <c r="A74" s="3" t="s">
        <v>222</v>
      </c>
      <c r="B74" s="25">
        <v>46187</v>
      </c>
      <c r="C74" s="3" t="s">
        <v>44</v>
      </c>
      <c r="D74" s="3" t="s">
        <v>44</v>
      </c>
      <c r="E74" s="3" t="s">
        <v>299</v>
      </c>
      <c r="F74" s="3" t="s">
        <v>300</v>
      </c>
      <c r="G74" s="3" t="s">
        <v>50</v>
      </c>
      <c r="H74" s="3" t="s">
        <v>15</v>
      </c>
      <c r="I74" s="3" t="s">
        <v>16</v>
      </c>
      <c r="J74" s="3">
        <v>1</v>
      </c>
      <c r="K74" s="3">
        <v>742</v>
      </c>
      <c r="L74" s="3">
        <v>742</v>
      </c>
    </row>
    <row r="75" spans="1:12">
      <c r="A75" s="3" t="s">
        <v>72</v>
      </c>
      <c r="B75" s="25">
        <v>46188</v>
      </c>
      <c r="C75" s="3" t="s">
        <v>73</v>
      </c>
      <c r="D75" s="3" t="s">
        <v>44</v>
      </c>
      <c r="E75" s="3" t="s">
        <v>74</v>
      </c>
      <c r="F75" s="3" t="s">
        <v>36</v>
      </c>
      <c r="G75" s="3" t="s">
        <v>41</v>
      </c>
      <c r="H75" s="3" t="s">
        <v>28</v>
      </c>
      <c r="I75" s="3" t="s">
        <v>23</v>
      </c>
      <c r="J75" s="3">
        <v>12</v>
      </c>
      <c r="K75" s="3">
        <v>281</v>
      </c>
      <c r="L75" s="3">
        <v>3372</v>
      </c>
    </row>
    <row r="76" spans="1:12">
      <c r="A76" s="3" t="s">
        <v>98</v>
      </c>
      <c r="B76" s="25">
        <v>46188</v>
      </c>
      <c r="C76" s="3" t="s">
        <v>88</v>
      </c>
      <c r="D76" s="3" t="s">
        <v>25</v>
      </c>
      <c r="E76" s="3" t="s">
        <v>99</v>
      </c>
      <c r="F76" s="3" t="s">
        <v>100</v>
      </c>
      <c r="G76" s="3" t="s">
        <v>14</v>
      </c>
      <c r="H76" s="3" t="s">
        <v>42</v>
      </c>
      <c r="I76" s="3" t="s">
        <v>23</v>
      </c>
      <c r="J76" s="3">
        <v>15</v>
      </c>
      <c r="K76" s="3">
        <v>427</v>
      </c>
      <c r="L76" s="3">
        <v>6405</v>
      </c>
    </row>
    <row r="77" spans="1:12">
      <c r="A77" s="3" t="s">
        <v>213</v>
      </c>
      <c r="B77" s="25">
        <v>46188</v>
      </c>
      <c r="C77" s="3" t="s">
        <v>52</v>
      </c>
      <c r="D77" s="3" t="s">
        <v>25</v>
      </c>
      <c r="E77" s="3" t="s">
        <v>214</v>
      </c>
      <c r="F77" s="3" t="s">
        <v>77</v>
      </c>
      <c r="G77" s="3" t="s">
        <v>21</v>
      </c>
      <c r="H77" s="3" t="s">
        <v>15</v>
      </c>
      <c r="I77" s="3" t="s">
        <v>16</v>
      </c>
      <c r="J77" s="3">
        <v>2</v>
      </c>
      <c r="K77" s="3">
        <v>748</v>
      </c>
      <c r="L77" s="3">
        <v>1496</v>
      </c>
    </row>
    <row r="78" spans="1:12">
      <c r="A78" s="3" t="s">
        <v>98</v>
      </c>
      <c r="B78" s="25">
        <v>46188</v>
      </c>
      <c r="C78" s="3" t="s">
        <v>108</v>
      </c>
      <c r="D78" s="3" t="s">
        <v>44</v>
      </c>
      <c r="E78" s="3" t="s">
        <v>282</v>
      </c>
      <c r="F78" s="3" t="s">
        <v>131</v>
      </c>
      <c r="G78" s="3" t="s">
        <v>41</v>
      </c>
      <c r="H78" s="3" t="s">
        <v>22</v>
      </c>
      <c r="I78" s="3" t="s">
        <v>23</v>
      </c>
      <c r="J78" s="3">
        <v>9</v>
      </c>
      <c r="K78" s="3">
        <v>418</v>
      </c>
      <c r="L78" s="3">
        <v>3762</v>
      </c>
    </row>
    <row r="79" spans="1:12">
      <c r="A79" s="3" t="s">
        <v>72</v>
      </c>
      <c r="B79" s="25">
        <v>46188</v>
      </c>
      <c r="C79" s="3" t="s">
        <v>95</v>
      </c>
      <c r="D79" s="3" t="s">
        <v>95</v>
      </c>
      <c r="E79" s="3" t="s">
        <v>251</v>
      </c>
      <c r="F79" s="3" t="s">
        <v>137</v>
      </c>
      <c r="G79" s="3" t="s">
        <v>50</v>
      </c>
      <c r="H79" s="3" t="s">
        <v>22</v>
      </c>
      <c r="I79" s="3" t="s">
        <v>23</v>
      </c>
      <c r="J79" s="3">
        <v>23</v>
      </c>
      <c r="K79" s="3">
        <v>395</v>
      </c>
      <c r="L79" s="3">
        <v>9085</v>
      </c>
    </row>
    <row r="80" spans="1:12">
      <c r="A80" s="3" t="s">
        <v>236</v>
      </c>
      <c r="B80" s="25">
        <v>46189</v>
      </c>
      <c r="C80" s="3" t="s">
        <v>30</v>
      </c>
      <c r="D80" s="3" t="s">
        <v>44</v>
      </c>
      <c r="E80" s="3" t="s">
        <v>210</v>
      </c>
      <c r="F80" s="3" t="s">
        <v>131</v>
      </c>
      <c r="G80" s="3" t="s">
        <v>32</v>
      </c>
      <c r="H80" s="3" t="s">
        <v>22</v>
      </c>
      <c r="I80" s="3" t="s">
        <v>23</v>
      </c>
      <c r="J80" s="3">
        <v>18</v>
      </c>
      <c r="K80" s="3">
        <v>424</v>
      </c>
      <c r="L80" s="3">
        <v>7632</v>
      </c>
    </row>
    <row r="81" spans="1:12">
      <c r="A81" s="3" t="s">
        <v>236</v>
      </c>
      <c r="B81" s="25">
        <v>46189</v>
      </c>
      <c r="C81" s="3" t="s">
        <v>30</v>
      </c>
      <c r="D81" s="3" t="s">
        <v>44</v>
      </c>
      <c r="E81" s="3" t="s">
        <v>186</v>
      </c>
      <c r="F81" s="3" t="s">
        <v>36</v>
      </c>
      <c r="G81" s="3" t="s">
        <v>21</v>
      </c>
      <c r="H81" s="3" t="s">
        <v>33</v>
      </c>
      <c r="I81" s="3" t="s">
        <v>23</v>
      </c>
      <c r="J81" s="3">
        <v>13</v>
      </c>
      <c r="K81" s="3">
        <v>385</v>
      </c>
      <c r="L81" s="3">
        <v>5005</v>
      </c>
    </row>
    <row r="82" spans="1:12">
      <c r="A82" s="3" t="s">
        <v>319</v>
      </c>
      <c r="B82" s="25">
        <v>46189</v>
      </c>
      <c r="C82" s="3" t="s">
        <v>120</v>
      </c>
      <c r="D82" s="3" t="s">
        <v>120</v>
      </c>
      <c r="E82" s="3" t="s">
        <v>258</v>
      </c>
      <c r="F82" s="3" t="s">
        <v>100</v>
      </c>
      <c r="G82" s="3" t="s">
        <v>41</v>
      </c>
      <c r="H82" s="3" t="s">
        <v>28</v>
      </c>
      <c r="I82" s="3" t="s">
        <v>23</v>
      </c>
      <c r="J82" s="3">
        <v>15</v>
      </c>
      <c r="K82" s="3">
        <v>300</v>
      </c>
      <c r="L82" s="3">
        <v>4500</v>
      </c>
    </row>
    <row r="83" spans="1:12">
      <c r="A83" s="3" t="s">
        <v>236</v>
      </c>
      <c r="B83" s="25">
        <v>46189</v>
      </c>
      <c r="C83" s="3" t="s">
        <v>139</v>
      </c>
      <c r="D83" s="3" t="s">
        <v>139</v>
      </c>
      <c r="E83" s="3" t="s">
        <v>39</v>
      </c>
      <c r="F83" s="3" t="s">
        <v>40</v>
      </c>
      <c r="G83" s="3" t="s">
        <v>41</v>
      </c>
      <c r="H83" s="3" t="s">
        <v>22</v>
      </c>
      <c r="I83" s="3" t="s">
        <v>23</v>
      </c>
      <c r="J83" s="3">
        <v>1</v>
      </c>
      <c r="K83" s="3">
        <v>414</v>
      </c>
      <c r="L83" s="3">
        <v>414</v>
      </c>
    </row>
    <row r="84" spans="1:12">
      <c r="A84" s="3" t="s">
        <v>34</v>
      </c>
      <c r="B84" s="25">
        <v>46190</v>
      </c>
      <c r="C84" s="3" t="s">
        <v>11</v>
      </c>
      <c r="D84" s="3" t="s">
        <v>120</v>
      </c>
      <c r="E84" s="3" t="s">
        <v>35</v>
      </c>
      <c r="F84" s="3" t="s">
        <v>36</v>
      </c>
      <c r="G84" s="3" t="s">
        <v>14</v>
      </c>
      <c r="H84" s="3" t="s">
        <v>33</v>
      </c>
      <c r="I84" s="3" t="s">
        <v>23</v>
      </c>
      <c r="J84" s="3">
        <v>15</v>
      </c>
      <c r="K84" s="3">
        <v>385</v>
      </c>
      <c r="L84" s="3">
        <v>5775</v>
      </c>
    </row>
    <row r="85" spans="1:12">
      <c r="A85" s="3" t="s">
        <v>34</v>
      </c>
      <c r="B85" s="25">
        <v>46190</v>
      </c>
      <c r="C85" s="3" t="s">
        <v>73</v>
      </c>
      <c r="D85" s="3" t="s">
        <v>44</v>
      </c>
      <c r="E85" s="3" t="s">
        <v>151</v>
      </c>
      <c r="F85" s="3" t="s">
        <v>152</v>
      </c>
      <c r="G85" s="3" t="s">
        <v>50</v>
      </c>
      <c r="H85" s="3" t="s">
        <v>22</v>
      </c>
      <c r="I85" s="3" t="s">
        <v>23</v>
      </c>
      <c r="J85" s="3">
        <v>7</v>
      </c>
      <c r="K85" s="3">
        <v>419</v>
      </c>
      <c r="L85" s="3">
        <v>2933</v>
      </c>
    </row>
    <row r="86" spans="1:12">
      <c r="A86" s="3" t="s">
        <v>64</v>
      </c>
      <c r="B86" s="25">
        <v>46191</v>
      </c>
      <c r="C86" s="3" t="s">
        <v>18</v>
      </c>
      <c r="D86" s="3" t="s">
        <v>95</v>
      </c>
      <c r="E86" s="3" t="s">
        <v>65</v>
      </c>
      <c r="F86" s="3" t="s">
        <v>66</v>
      </c>
      <c r="G86" s="3" t="s">
        <v>41</v>
      </c>
      <c r="H86" s="3" t="s">
        <v>22</v>
      </c>
      <c r="I86" s="3" t="s">
        <v>23</v>
      </c>
      <c r="J86" s="3">
        <v>9</v>
      </c>
      <c r="K86" s="3">
        <v>401</v>
      </c>
      <c r="L86" s="3">
        <v>3609</v>
      </c>
    </row>
    <row r="87" spans="1:12">
      <c r="A87" s="3" t="s">
        <v>64</v>
      </c>
      <c r="B87" s="25">
        <v>46191</v>
      </c>
      <c r="C87" s="3" t="s">
        <v>108</v>
      </c>
      <c r="D87" s="3" t="s">
        <v>44</v>
      </c>
      <c r="E87" s="3" t="s">
        <v>174</v>
      </c>
      <c r="F87" s="3" t="s">
        <v>46</v>
      </c>
      <c r="G87" s="3" t="s">
        <v>21</v>
      </c>
      <c r="H87" s="3" t="s">
        <v>42</v>
      </c>
      <c r="I87" s="3" t="s">
        <v>23</v>
      </c>
      <c r="J87" s="3">
        <v>17</v>
      </c>
      <c r="K87" s="3">
        <v>439</v>
      </c>
      <c r="L87" s="3">
        <v>7463</v>
      </c>
    </row>
    <row r="88" spans="1:12">
      <c r="A88" s="3" t="s">
        <v>64</v>
      </c>
      <c r="B88" s="25">
        <v>46191</v>
      </c>
      <c r="C88" s="3" t="s">
        <v>110</v>
      </c>
      <c r="D88" s="3" t="s">
        <v>95</v>
      </c>
      <c r="E88" s="3" t="s">
        <v>251</v>
      </c>
      <c r="F88" s="3" t="s">
        <v>137</v>
      </c>
      <c r="G88" s="3" t="s">
        <v>50</v>
      </c>
      <c r="H88" s="3" t="s">
        <v>15</v>
      </c>
      <c r="I88" s="3" t="s">
        <v>16</v>
      </c>
      <c r="J88" s="3">
        <v>14</v>
      </c>
      <c r="K88" s="3">
        <v>744</v>
      </c>
      <c r="L88" s="3">
        <v>10416</v>
      </c>
    </row>
    <row r="89" spans="1:12">
      <c r="A89" s="3" t="s">
        <v>170</v>
      </c>
      <c r="B89" s="25">
        <v>46192</v>
      </c>
      <c r="C89" s="3" t="s">
        <v>30</v>
      </c>
      <c r="D89" s="3" t="s">
        <v>44</v>
      </c>
      <c r="E89" s="3" t="s">
        <v>60</v>
      </c>
      <c r="F89" s="3" t="s">
        <v>49</v>
      </c>
      <c r="G89" s="3" t="s">
        <v>32</v>
      </c>
      <c r="H89" s="3" t="s">
        <v>33</v>
      </c>
      <c r="I89" s="3" t="s">
        <v>23</v>
      </c>
      <c r="J89" s="3">
        <v>1</v>
      </c>
      <c r="K89" s="3">
        <v>385</v>
      </c>
      <c r="L89" s="3">
        <v>385</v>
      </c>
    </row>
    <row r="90" spans="1:12">
      <c r="A90" s="3" t="s">
        <v>170</v>
      </c>
      <c r="B90" s="25">
        <v>46192</v>
      </c>
      <c r="C90" s="3" t="s">
        <v>110</v>
      </c>
      <c r="D90" s="3" t="s">
        <v>95</v>
      </c>
      <c r="E90" s="3" t="s">
        <v>271</v>
      </c>
      <c r="F90" s="3" t="s">
        <v>103</v>
      </c>
      <c r="G90" s="3" t="s">
        <v>41</v>
      </c>
      <c r="H90" s="3" t="s">
        <v>58</v>
      </c>
      <c r="I90" s="3" t="s">
        <v>23</v>
      </c>
      <c r="J90" s="3">
        <v>2</v>
      </c>
      <c r="K90" s="3">
        <v>463</v>
      </c>
      <c r="L90" s="3">
        <v>926</v>
      </c>
    </row>
    <row r="91" spans="1:12">
      <c r="A91" s="3" t="s">
        <v>277</v>
      </c>
      <c r="B91" s="25">
        <v>46192</v>
      </c>
      <c r="C91" s="3" t="s">
        <v>120</v>
      </c>
      <c r="D91" s="3" t="s">
        <v>120</v>
      </c>
      <c r="E91" s="3" t="s">
        <v>278</v>
      </c>
      <c r="F91" s="3" t="s">
        <v>242</v>
      </c>
      <c r="G91" s="3" t="s">
        <v>32</v>
      </c>
      <c r="H91" s="3" t="s">
        <v>22</v>
      </c>
      <c r="I91" s="3" t="s">
        <v>23</v>
      </c>
      <c r="J91" s="3">
        <v>20</v>
      </c>
      <c r="K91" s="3">
        <v>398</v>
      </c>
      <c r="L91" s="3">
        <v>7960</v>
      </c>
    </row>
    <row r="92" spans="1:12">
      <c r="A92" s="3" t="s">
        <v>277</v>
      </c>
      <c r="B92" s="25">
        <v>46192</v>
      </c>
      <c r="C92" s="3" t="s">
        <v>11</v>
      </c>
      <c r="D92" s="3" t="s">
        <v>120</v>
      </c>
      <c r="E92" s="3" t="s">
        <v>258</v>
      </c>
      <c r="F92" s="3" t="s">
        <v>100</v>
      </c>
      <c r="G92" s="3" t="s">
        <v>41</v>
      </c>
      <c r="H92" s="3" t="s">
        <v>42</v>
      </c>
      <c r="I92" s="3" t="s">
        <v>23</v>
      </c>
      <c r="J92" s="3">
        <v>22</v>
      </c>
      <c r="K92" s="3">
        <v>414</v>
      </c>
      <c r="L92" s="3">
        <v>9108</v>
      </c>
    </row>
    <row r="93" spans="1:12">
      <c r="A93" s="3" t="s">
        <v>126</v>
      </c>
      <c r="B93" s="25">
        <v>46193</v>
      </c>
      <c r="C93" s="3" t="s">
        <v>88</v>
      </c>
      <c r="D93" s="3" t="s">
        <v>25</v>
      </c>
      <c r="E93" s="3" t="s">
        <v>53</v>
      </c>
      <c r="F93" s="3" t="s">
        <v>54</v>
      </c>
      <c r="G93" s="3" t="s">
        <v>50</v>
      </c>
      <c r="H93" s="3" t="s">
        <v>28</v>
      </c>
      <c r="I93" s="3" t="s">
        <v>23</v>
      </c>
      <c r="J93" s="3">
        <v>25</v>
      </c>
      <c r="K93" s="3">
        <v>283</v>
      </c>
      <c r="L93" s="3">
        <v>7075</v>
      </c>
    </row>
    <row r="94" spans="1:12">
      <c r="A94" s="3" t="s">
        <v>126</v>
      </c>
      <c r="B94" s="25">
        <v>46193</v>
      </c>
      <c r="C94" s="3" t="s">
        <v>25</v>
      </c>
      <c r="D94" s="3" t="s">
        <v>25</v>
      </c>
      <c r="E94" s="3" t="s">
        <v>89</v>
      </c>
      <c r="F94" s="3" t="s">
        <v>90</v>
      </c>
      <c r="G94" s="3" t="s">
        <v>50</v>
      </c>
      <c r="H94" s="3" t="s">
        <v>58</v>
      </c>
      <c r="I94" s="3" t="s">
        <v>23</v>
      </c>
      <c r="J94" s="3">
        <v>24</v>
      </c>
      <c r="K94" s="3">
        <v>474</v>
      </c>
      <c r="L94" s="3">
        <v>11376</v>
      </c>
    </row>
    <row r="95" spans="1:12">
      <c r="A95" s="3" t="s">
        <v>266</v>
      </c>
      <c r="B95" s="25">
        <v>46193</v>
      </c>
      <c r="C95" s="3" t="s">
        <v>44</v>
      </c>
      <c r="D95" s="3" t="s">
        <v>44</v>
      </c>
      <c r="E95" s="3" t="s">
        <v>79</v>
      </c>
      <c r="F95" s="3" t="s">
        <v>80</v>
      </c>
      <c r="G95" s="3" t="s">
        <v>32</v>
      </c>
      <c r="H95" s="3" t="s">
        <v>33</v>
      </c>
      <c r="I95" s="3" t="s">
        <v>23</v>
      </c>
      <c r="J95" s="3">
        <v>17</v>
      </c>
      <c r="K95" s="3">
        <v>397</v>
      </c>
      <c r="L95" s="3">
        <v>6749</v>
      </c>
    </row>
    <row r="96" spans="1:12">
      <c r="A96" s="3" t="s">
        <v>272</v>
      </c>
      <c r="B96" s="25">
        <v>46193</v>
      </c>
      <c r="C96" s="3" t="s">
        <v>44</v>
      </c>
      <c r="D96" s="3" t="s">
        <v>44</v>
      </c>
      <c r="E96" s="3" t="s">
        <v>273</v>
      </c>
      <c r="F96" s="3" t="s">
        <v>71</v>
      </c>
      <c r="G96" s="3" t="s">
        <v>41</v>
      </c>
      <c r="H96" s="3" t="s">
        <v>42</v>
      </c>
      <c r="I96" s="3" t="s">
        <v>23</v>
      </c>
      <c r="J96" s="3">
        <v>22</v>
      </c>
      <c r="K96" s="3">
        <v>422</v>
      </c>
      <c r="L96" s="3">
        <v>9284</v>
      </c>
    </row>
    <row r="97" spans="1:12">
      <c r="A97" s="3" t="s">
        <v>266</v>
      </c>
      <c r="B97" s="25">
        <v>46193</v>
      </c>
      <c r="C97" s="3" t="s">
        <v>44</v>
      </c>
      <c r="D97" s="3" t="s">
        <v>44</v>
      </c>
      <c r="E97" s="3" t="s">
        <v>224</v>
      </c>
      <c r="F97" s="3" t="s">
        <v>106</v>
      </c>
      <c r="G97" s="3" t="s">
        <v>41</v>
      </c>
      <c r="H97" s="3" t="s">
        <v>28</v>
      </c>
      <c r="I97" s="3" t="s">
        <v>23</v>
      </c>
      <c r="J97" s="3">
        <v>2</v>
      </c>
      <c r="K97" s="3">
        <v>287</v>
      </c>
      <c r="L97" s="3">
        <v>574</v>
      </c>
    </row>
    <row r="98" spans="1:12">
      <c r="A98" s="3" t="s">
        <v>275</v>
      </c>
      <c r="B98" s="25">
        <v>46194</v>
      </c>
      <c r="C98" s="3" t="s">
        <v>30</v>
      </c>
      <c r="D98" s="3" t="s">
        <v>44</v>
      </c>
      <c r="E98" s="3" t="s">
        <v>79</v>
      </c>
      <c r="F98" s="3" t="s">
        <v>80</v>
      </c>
      <c r="G98" s="3" t="s">
        <v>32</v>
      </c>
      <c r="H98" s="3" t="s">
        <v>58</v>
      </c>
      <c r="I98" s="3" t="s">
        <v>23</v>
      </c>
      <c r="J98" s="3">
        <v>22</v>
      </c>
      <c r="K98" s="3">
        <v>452</v>
      </c>
      <c r="L98" s="3">
        <v>9944</v>
      </c>
    </row>
    <row r="99" spans="1:12">
      <c r="A99" s="3" t="s">
        <v>306</v>
      </c>
      <c r="B99" s="25">
        <v>46194</v>
      </c>
      <c r="C99" s="3" t="s">
        <v>139</v>
      </c>
      <c r="D99" s="3" t="s">
        <v>139</v>
      </c>
      <c r="E99" s="3" t="s">
        <v>297</v>
      </c>
      <c r="F99" s="3" t="s">
        <v>106</v>
      </c>
      <c r="G99" s="3" t="s">
        <v>50</v>
      </c>
      <c r="H99" s="3" t="s">
        <v>28</v>
      </c>
      <c r="I99" s="3" t="s">
        <v>23</v>
      </c>
      <c r="J99" s="3">
        <v>25</v>
      </c>
      <c r="K99" s="3">
        <v>287</v>
      </c>
      <c r="L99" s="3">
        <v>7175</v>
      </c>
    </row>
    <row r="100" spans="1:12">
      <c r="A100" s="3" t="s">
        <v>84</v>
      </c>
      <c r="B100" s="25">
        <v>46195</v>
      </c>
      <c r="C100" s="3" t="s">
        <v>11</v>
      </c>
      <c r="D100" s="3" t="s">
        <v>120</v>
      </c>
      <c r="E100" s="3" t="s">
        <v>85</v>
      </c>
      <c r="F100" s="3" t="s">
        <v>86</v>
      </c>
      <c r="G100" s="3" t="s">
        <v>32</v>
      </c>
      <c r="H100" s="3" t="s">
        <v>28</v>
      </c>
      <c r="I100" s="3" t="s">
        <v>23</v>
      </c>
      <c r="J100" s="3">
        <v>12</v>
      </c>
      <c r="K100" s="3">
        <v>286</v>
      </c>
      <c r="L100" s="3">
        <v>3432</v>
      </c>
    </row>
    <row r="101" spans="1:12">
      <c r="A101" s="3" t="s">
        <v>84</v>
      </c>
      <c r="B101" s="25">
        <v>46195</v>
      </c>
      <c r="C101" s="3" t="s">
        <v>38</v>
      </c>
      <c r="D101" s="3" t="s">
        <v>139</v>
      </c>
      <c r="E101" s="3" t="s">
        <v>127</v>
      </c>
      <c r="F101" s="3" t="s">
        <v>128</v>
      </c>
      <c r="G101" s="3" t="s">
        <v>41</v>
      </c>
      <c r="H101" s="3" t="s">
        <v>28</v>
      </c>
      <c r="I101" s="3" t="s">
        <v>23</v>
      </c>
      <c r="J101" s="3">
        <v>6</v>
      </c>
      <c r="K101" s="3">
        <v>300</v>
      </c>
      <c r="L101" s="3">
        <v>1800</v>
      </c>
    </row>
    <row r="102" spans="1:12">
      <c r="A102" s="3" t="s">
        <v>145</v>
      </c>
      <c r="B102" s="25">
        <v>46195</v>
      </c>
      <c r="C102" s="3" t="s">
        <v>30</v>
      </c>
      <c r="D102" s="3" t="s">
        <v>44</v>
      </c>
      <c r="E102" s="3" t="s">
        <v>70</v>
      </c>
      <c r="F102" s="3" t="s">
        <v>71</v>
      </c>
      <c r="G102" s="3" t="s">
        <v>50</v>
      </c>
      <c r="H102" s="3" t="s">
        <v>58</v>
      </c>
      <c r="I102" s="3" t="s">
        <v>23</v>
      </c>
      <c r="J102" s="3">
        <v>18</v>
      </c>
      <c r="K102" s="3">
        <v>466</v>
      </c>
      <c r="L102" s="3">
        <v>8388</v>
      </c>
    </row>
    <row r="103" spans="1:12">
      <c r="A103" s="3" t="s">
        <v>162</v>
      </c>
      <c r="B103" s="25">
        <v>46195</v>
      </c>
      <c r="C103" s="3" t="s">
        <v>88</v>
      </c>
      <c r="D103" s="3" t="s">
        <v>25</v>
      </c>
      <c r="E103" s="3" t="s">
        <v>163</v>
      </c>
      <c r="F103" s="3" t="s">
        <v>164</v>
      </c>
      <c r="G103" s="3" t="s">
        <v>32</v>
      </c>
      <c r="H103" s="3" t="s">
        <v>58</v>
      </c>
      <c r="I103" s="3" t="s">
        <v>23</v>
      </c>
      <c r="J103" s="3">
        <v>10</v>
      </c>
      <c r="K103" s="3">
        <v>470</v>
      </c>
      <c r="L103" s="3">
        <v>4700</v>
      </c>
    </row>
    <row r="104" spans="1:12">
      <c r="A104" s="3" t="s">
        <v>145</v>
      </c>
      <c r="B104" s="25">
        <v>46195</v>
      </c>
      <c r="C104" s="3" t="s">
        <v>25</v>
      </c>
      <c r="D104" s="3" t="s">
        <v>25</v>
      </c>
      <c r="E104" s="3" t="s">
        <v>169</v>
      </c>
      <c r="F104" s="3" t="s">
        <v>71</v>
      </c>
      <c r="G104" s="3" t="s">
        <v>32</v>
      </c>
      <c r="H104" s="3" t="s">
        <v>22</v>
      </c>
      <c r="I104" s="3" t="s">
        <v>23</v>
      </c>
      <c r="J104" s="3">
        <v>24</v>
      </c>
      <c r="K104" s="3">
        <v>409</v>
      </c>
      <c r="L104" s="3">
        <v>9816</v>
      </c>
    </row>
    <row r="105" spans="1:12">
      <c r="A105" s="3" t="s">
        <v>145</v>
      </c>
      <c r="B105" s="25">
        <v>46195</v>
      </c>
      <c r="C105" s="3" t="s">
        <v>120</v>
      </c>
      <c r="D105" s="3" t="s">
        <v>120</v>
      </c>
      <c r="E105" s="3" t="s">
        <v>35</v>
      </c>
      <c r="F105" s="3" t="s">
        <v>36</v>
      </c>
      <c r="G105" s="3" t="s">
        <v>14</v>
      </c>
      <c r="H105" s="3" t="s">
        <v>28</v>
      </c>
      <c r="I105" s="3" t="s">
        <v>23</v>
      </c>
      <c r="J105" s="3">
        <v>25</v>
      </c>
      <c r="K105" s="3">
        <v>284</v>
      </c>
      <c r="L105" s="3">
        <v>7100</v>
      </c>
    </row>
    <row r="106" spans="1:12">
      <c r="A106" s="3" t="s">
        <v>162</v>
      </c>
      <c r="B106" s="25">
        <v>46195</v>
      </c>
      <c r="C106" s="3" t="s">
        <v>11</v>
      </c>
      <c r="D106" s="3" t="s">
        <v>120</v>
      </c>
      <c r="E106" s="3" t="s">
        <v>35</v>
      </c>
      <c r="F106" s="3" t="s">
        <v>36</v>
      </c>
      <c r="G106" s="3" t="s">
        <v>14</v>
      </c>
      <c r="H106" s="3" t="s">
        <v>28</v>
      </c>
      <c r="I106" s="3" t="s">
        <v>23</v>
      </c>
      <c r="J106" s="3">
        <v>6</v>
      </c>
      <c r="K106" s="3">
        <v>292</v>
      </c>
      <c r="L106" s="3">
        <v>1752</v>
      </c>
    </row>
    <row r="107" spans="1:12">
      <c r="A107" s="3" t="s">
        <v>84</v>
      </c>
      <c r="B107" s="25">
        <v>46195</v>
      </c>
      <c r="C107" s="3" t="s">
        <v>139</v>
      </c>
      <c r="D107" s="3" t="s">
        <v>139</v>
      </c>
      <c r="E107" s="3" t="s">
        <v>62</v>
      </c>
      <c r="F107" s="3" t="s">
        <v>63</v>
      </c>
      <c r="G107" s="3" t="s">
        <v>14</v>
      </c>
      <c r="H107" s="3" t="s">
        <v>33</v>
      </c>
      <c r="I107" s="3" t="s">
        <v>23</v>
      </c>
      <c r="J107" s="3">
        <v>5</v>
      </c>
      <c r="K107" s="3">
        <v>381</v>
      </c>
      <c r="L107" s="3">
        <v>1905</v>
      </c>
    </row>
    <row r="108" spans="1:12">
      <c r="A108" s="3" t="s">
        <v>61</v>
      </c>
      <c r="B108" s="25">
        <v>46196</v>
      </c>
      <c r="C108" s="3" t="s">
        <v>38</v>
      </c>
      <c r="D108" s="3" t="s">
        <v>139</v>
      </c>
      <c r="E108" s="3" t="s">
        <v>62</v>
      </c>
      <c r="F108" s="3" t="s">
        <v>63</v>
      </c>
      <c r="G108" s="3" t="s">
        <v>14</v>
      </c>
      <c r="H108" s="3" t="s">
        <v>58</v>
      </c>
      <c r="I108" s="3" t="s">
        <v>23</v>
      </c>
      <c r="J108" s="3">
        <v>19</v>
      </c>
      <c r="K108" s="3">
        <v>477</v>
      </c>
      <c r="L108" s="3">
        <v>9063</v>
      </c>
    </row>
    <row r="109" spans="1:12">
      <c r="A109" s="3" t="s">
        <v>180</v>
      </c>
      <c r="B109" s="25">
        <v>46196</v>
      </c>
      <c r="C109" s="3" t="s">
        <v>25</v>
      </c>
      <c r="D109" s="3" t="s">
        <v>25</v>
      </c>
      <c r="E109" s="3" t="s">
        <v>181</v>
      </c>
      <c r="F109" s="3" t="s">
        <v>131</v>
      </c>
      <c r="G109" s="3" t="s">
        <v>41</v>
      </c>
      <c r="H109" s="3" t="s">
        <v>58</v>
      </c>
      <c r="I109" s="3" t="s">
        <v>23</v>
      </c>
      <c r="J109" s="3">
        <v>21</v>
      </c>
      <c r="K109" s="3">
        <v>464</v>
      </c>
      <c r="L109" s="3">
        <v>9744</v>
      </c>
    </row>
    <row r="110" spans="1:12">
      <c r="A110" s="3" t="s">
        <v>180</v>
      </c>
      <c r="B110" s="25">
        <v>46196</v>
      </c>
      <c r="C110" s="3" t="s">
        <v>38</v>
      </c>
      <c r="D110" s="3" t="s">
        <v>139</v>
      </c>
      <c r="E110" s="3" t="s">
        <v>297</v>
      </c>
      <c r="F110" s="3" t="s">
        <v>106</v>
      </c>
      <c r="G110" s="3" t="s">
        <v>50</v>
      </c>
      <c r="H110" s="3" t="s">
        <v>15</v>
      </c>
      <c r="I110" s="3" t="s">
        <v>16</v>
      </c>
      <c r="J110" s="3">
        <v>21</v>
      </c>
      <c r="K110" s="3">
        <v>745</v>
      </c>
      <c r="L110" s="3">
        <v>15645</v>
      </c>
    </row>
    <row r="111" spans="1:12">
      <c r="A111" s="3" t="s">
        <v>180</v>
      </c>
      <c r="B111" s="25">
        <v>46196</v>
      </c>
      <c r="C111" s="3" t="s">
        <v>88</v>
      </c>
      <c r="D111" s="3" t="s">
        <v>25</v>
      </c>
      <c r="E111" s="3" t="s">
        <v>316</v>
      </c>
      <c r="F111" s="3" t="s">
        <v>112</v>
      </c>
      <c r="G111" s="3" t="s">
        <v>14</v>
      </c>
      <c r="H111" s="3" t="s">
        <v>22</v>
      </c>
      <c r="I111" s="3" t="s">
        <v>23</v>
      </c>
      <c r="J111" s="3">
        <v>16</v>
      </c>
      <c r="K111" s="3">
        <v>399</v>
      </c>
      <c r="L111" s="3">
        <v>6384</v>
      </c>
    </row>
    <row r="112" spans="1:12">
      <c r="A112" s="3" t="s">
        <v>10</v>
      </c>
      <c r="B112" s="25">
        <v>46197</v>
      </c>
      <c r="C112" s="3" t="s">
        <v>11</v>
      </c>
      <c r="D112" s="3" t="s">
        <v>120</v>
      </c>
      <c r="E112" s="3" t="s">
        <v>12</v>
      </c>
      <c r="F112" s="3" t="s">
        <v>13</v>
      </c>
      <c r="G112" s="3" t="s">
        <v>14</v>
      </c>
      <c r="H112" s="3" t="s">
        <v>15</v>
      </c>
      <c r="I112" s="3" t="s">
        <v>16</v>
      </c>
      <c r="J112" s="3">
        <v>25</v>
      </c>
      <c r="K112" s="3">
        <v>741</v>
      </c>
      <c r="L112" s="3">
        <v>18525</v>
      </c>
    </row>
    <row r="113" spans="1:12">
      <c r="A113" s="3" t="s">
        <v>67</v>
      </c>
      <c r="B113" s="25">
        <v>46197</v>
      </c>
      <c r="C113" s="3" t="s">
        <v>11</v>
      </c>
      <c r="D113" s="3" t="s">
        <v>120</v>
      </c>
      <c r="E113" s="3" t="s">
        <v>68</v>
      </c>
      <c r="F113" s="3" t="s">
        <v>36</v>
      </c>
      <c r="G113" s="3" t="s">
        <v>50</v>
      </c>
      <c r="H113" s="3" t="s">
        <v>15</v>
      </c>
      <c r="I113" s="3" t="s">
        <v>16</v>
      </c>
      <c r="J113" s="3">
        <v>10</v>
      </c>
      <c r="K113" s="3">
        <v>749</v>
      </c>
      <c r="L113" s="3">
        <v>7490</v>
      </c>
    </row>
    <row r="114" spans="1:12">
      <c r="A114" s="3" t="s">
        <v>177</v>
      </c>
      <c r="B114" s="25">
        <v>46197</v>
      </c>
      <c r="C114" s="3" t="s">
        <v>38</v>
      </c>
      <c r="D114" s="3" t="s">
        <v>139</v>
      </c>
      <c r="E114" s="3" t="s">
        <v>178</v>
      </c>
      <c r="F114" s="3" t="s">
        <v>179</v>
      </c>
      <c r="G114" s="3" t="s">
        <v>14</v>
      </c>
      <c r="H114" s="3" t="s">
        <v>15</v>
      </c>
      <c r="I114" s="3" t="s">
        <v>16</v>
      </c>
      <c r="J114" s="3">
        <v>10</v>
      </c>
      <c r="K114" s="3">
        <v>742</v>
      </c>
      <c r="L114" s="3">
        <v>7420</v>
      </c>
    </row>
    <row r="115" spans="1:12">
      <c r="A115" s="3" t="s">
        <v>10</v>
      </c>
      <c r="B115" s="25">
        <v>46197</v>
      </c>
      <c r="C115" s="3" t="s">
        <v>95</v>
      </c>
      <c r="D115" s="3" t="s">
        <v>95</v>
      </c>
      <c r="E115" s="3" t="s">
        <v>195</v>
      </c>
      <c r="F115" s="3" t="s">
        <v>196</v>
      </c>
      <c r="G115" s="3" t="s">
        <v>21</v>
      </c>
      <c r="H115" s="3" t="s">
        <v>15</v>
      </c>
      <c r="I115" s="3" t="s">
        <v>16</v>
      </c>
      <c r="J115" s="3">
        <v>8</v>
      </c>
      <c r="K115" s="3">
        <v>760</v>
      </c>
      <c r="L115" s="3">
        <v>6080</v>
      </c>
    </row>
    <row r="116" spans="1:12">
      <c r="A116" s="3" t="s">
        <v>10</v>
      </c>
      <c r="B116" s="25">
        <v>46197</v>
      </c>
      <c r="C116" s="3" t="s">
        <v>73</v>
      </c>
      <c r="D116" s="3" t="s">
        <v>44</v>
      </c>
      <c r="E116" s="3" t="s">
        <v>74</v>
      </c>
      <c r="F116" s="3" t="s">
        <v>36</v>
      </c>
      <c r="G116" s="3" t="s">
        <v>41</v>
      </c>
      <c r="H116" s="3" t="s">
        <v>15</v>
      </c>
      <c r="I116" s="3" t="s">
        <v>16</v>
      </c>
      <c r="J116" s="3">
        <v>6</v>
      </c>
      <c r="K116" s="3">
        <v>743</v>
      </c>
      <c r="L116" s="3">
        <v>4458</v>
      </c>
    </row>
    <row r="117" spans="1:12">
      <c r="A117" s="3" t="s">
        <v>67</v>
      </c>
      <c r="B117" s="25">
        <v>46197</v>
      </c>
      <c r="C117" s="3" t="s">
        <v>25</v>
      </c>
      <c r="D117" s="3" t="s">
        <v>25</v>
      </c>
      <c r="E117" s="3" t="s">
        <v>169</v>
      </c>
      <c r="F117" s="3" t="s">
        <v>71</v>
      </c>
      <c r="G117" s="3" t="s">
        <v>32</v>
      </c>
      <c r="H117" s="3" t="s">
        <v>15</v>
      </c>
      <c r="I117" s="3" t="s">
        <v>16</v>
      </c>
      <c r="J117" s="3">
        <v>18</v>
      </c>
      <c r="K117" s="3">
        <v>763</v>
      </c>
      <c r="L117" s="3">
        <v>13734</v>
      </c>
    </row>
    <row r="118" spans="1:12">
      <c r="A118" s="3" t="s">
        <v>67</v>
      </c>
      <c r="B118" s="25">
        <v>46197</v>
      </c>
      <c r="C118" s="3" t="s">
        <v>11</v>
      </c>
      <c r="D118" s="3" t="s">
        <v>120</v>
      </c>
      <c r="E118" s="3" t="s">
        <v>85</v>
      </c>
      <c r="F118" s="3" t="s">
        <v>86</v>
      </c>
      <c r="G118" s="3" t="s">
        <v>32</v>
      </c>
      <c r="H118" s="3" t="s">
        <v>33</v>
      </c>
      <c r="I118" s="3" t="s">
        <v>23</v>
      </c>
      <c r="J118" s="3">
        <v>11</v>
      </c>
      <c r="K118" s="3">
        <v>394</v>
      </c>
      <c r="L118" s="3">
        <v>4334</v>
      </c>
    </row>
    <row r="119" spans="1:12">
      <c r="A119" s="3" t="s">
        <v>177</v>
      </c>
      <c r="B119" s="25">
        <v>46197</v>
      </c>
      <c r="C119" s="3" t="s">
        <v>73</v>
      </c>
      <c r="D119" s="3" t="s">
        <v>44</v>
      </c>
      <c r="E119" s="3" t="s">
        <v>70</v>
      </c>
      <c r="F119" s="3" t="s">
        <v>71</v>
      </c>
      <c r="G119" s="3" t="s">
        <v>50</v>
      </c>
      <c r="H119" s="3" t="s">
        <v>42</v>
      </c>
      <c r="I119" s="3" t="s">
        <v>23</v>
      </c>
      <c r="J119" s="3">
        <v>3</v>
      </c>
      <c r="K119" s="3">
        <v>427</v>
      </c>
      <c r="L119" s="3">
        <v>1281</v>
      </c>
    </row>
    <row r="120" spans="1:12">
      <c r="A120" s="3" t="s">
        <v>177</v>
      </c>
      <c r="B120" s="25">
        <v>46197</v>
      </c>
      <c r="C120" s="3" t="s">
        <v>30</v>
      </c>
      <c r="D120" s="3" t="s">
        <v>44</v>
      </c>
      <c r="E120" s="3" t="s">
        <v>276</v>
      </c>
      <c r="F120" s="3" t="s">
        <v>164</v>
      </c>
      <c r="G120" s="3" t="s">
        <v>32</v>
      </c>
      <c r="H120" s="3" t="s">
        <v>33</v>
      </c>
      <c r="I120" s="3" t="s">
        <v>23</v>
      </c>
      <c r="J120" s="3">
        <v>4</v>
      </c>
      <c r="K120" s="3">
        <v>386</v>
      </c>
      <c r="L120" s="3">
        <v>1544</v>
      </c>
    </row>
    <row r="121" spans="1:12">
      <c r="A121" s="3" t="s">
        <v>155</v>
      </c>
      <c r="B121" s="25">
        <v>46198</v>
      </c>
      <c r="C121" s="3" t="s">
        <v>52</v>
      </c>
      <c r="D121" s="3" t="s">
        <v>25</v>
      </c>
      <c r="E121" s="3" t="s">
        <v>156</v>
      </c>
      <c r="F121" s="3" t="s">
        <v>80</v>
      </c>
      <c r="G121" s="3" t="s">
        <v>32</v>
      </c>
      <c r="H121" s="3" t="s">
        <v>28</v>
      </c>
      <c r="I121" s="3" t="s">
        <v>23</v>
      </c>
      <c r="J121" s="3">
        <v>16</v>
      </c>
      <c r="K121" s="3">
        <v>278</v>
      </c>
      <c r="L121" s="3">
        <v>4448</v>
      </c>
    </row>
    <row r="122" spans="1:12">
      <c r="A122" s="3" t="s">
        <v>274</v>
      </c>
      <c r="B122" s="25">
        <v>46198</v>
      </c>
      <c r="C122" s="3" t="s">
        <v>52</v>
      </c>
      <c r="D122" s="3" t="s">
        <v>25</v>
      </c>
      <c r="E122" s="3" t="s">
        <v>26</v>
      </c>
      <c r="F122" s="3" t="s">
        <v>27</v>
      </c>
      <c r="G122" s="3" t="s">
        <v>14</v>
      </c>
      <c r="H122" s="3" t="s">
        <v>28</v>
      </c>
      <c r="I122" s="3" t="s">
        <v>23</v>
      </c>
      <c r="J122" s="3">
        <v>9</v>
      </c>
      <c r="K122" s="3">
        <v>296</v>
      </c>
      <c r="L122" s="3">
        <v>2664</v>
      </c>
    </row>
    <row r="123" spans="1:12">
      <c r="A123" s="3" t="s">
        <v>290</v>
      </c>
      <c r="B123" s="25">
        <v>46198</v>
      </c>
      <c r="C123" s="3" t="s">
        <v>108</v>
      </c>
      <c r="D123" s="3" t="s">
        <v>44</v>
      </c>
      <c r="E123" s="3" t="s">
        <v>151</v>
      </c>
      <c r="F123" s="3" t="s">
        <v>152</v>
      </c>
      <c r="G123" s="3" t="s">
        <v>50</v>
      </c>
      <c r="H123" s="3" t="s">
        <v>15</v>
      </c>
      <c r="I123" s="3" t="s">
        <v>16</v>
      </c>
      <c r="J123" s="3">
        <v>17</v>
      </c>
      <c r="K123" s="3">
        <v>762</v>
      </c>
      <c r="L123" s="3">
        <v>12954</v>
      </c>
    </row>
    <row r="124" spans="1:12">
      <c r="A124" s="3" t="s">
        <v>274</v>
      </c>
      <c r="B124" s="25">
        <v>46198</v>
      </c>
      <c r="C124" s="3" t="s">
        <v>88</v>
      </c>
      <c r="D124" s="3" t="s">
        <v>25</v>
      </c>
      <c r="E124" s="3" t="s">
        <v>99</v>
      </c>
      <c r="F124" s="3" t="s">
        <v>100</v>
      </c>
      <c r="G124" s="3" t="s">
        <v>14</v>
      </c>
      <c r="H124" s="3" t="s">
        <v>28</v>
      </c>
      <c r="I124" s="3" t="s">
        <v>23</v>
      </c>
      <c r="J124" s="3">
        <v>20</v>
      </c>
      <c r="K124" s="3">
        <v>298</v>
      </c>
      <c r="L124" s="3">
        <v>5960</v>
      </c>
    </row>
    <row r="125" spans="1:12">
      <c r="A125" s="3" t="s">
        <v>155</v>
      </c>
      <c r="B125" s="25">
        <v>46198</v>
      </c>
      <c r="C125" s="3" t="s">
        <v>120</v>
      </c>
      <c r="D125" s="3" t="s">
        <v>120</v>
      </c>
      <c r="E125" s="3" t="s">
        <v>35</v>
      </c>
      <c r="F125" s="3" t="s">
        <v>36</v>
      </c>
      <c r="G125" s="3" t="s">
        <v>14</v>
      </c>
      <c r="H125" s="3" t="s">
        <v>42</v>
      </c>
      <c r="I125" s="3" t="s">
        <v>23</v>
      </c>
      <c r="J125" s="3">
        <v>9</v>
      </c>
      <c r="K125" s="3">
        <v>434</v>
      </c>
      <c r="L125" s="3">
        <v>3906</v>
      </c>
    </row>
    <row r="126" spans="1:12">
      <c r="A126" s="3" t="s">
        <v>94</v>
      </c>
      <c r="B126" s="25">
        <v>46199</v>
      </c>
      <c r="C126" s="3" t="s">
        <v>95</v>
      </c>
      <c r="D126" s="3" t="s">
        <v>95</v>
      </c>
      <c r="E126" s="3" t="s">
        <v>96</v>
      </c>
      <c r="F126" s="3" t="s">
        <v>97</v>
      </c>
      <c r="G126" s="3" t="s">
        <v>21</v>
      </c>
      <c r="H126" s="3" t="s">
        <v>33</v>
      </c>
      <c r="I126" s="3" t="s">
        <v>23</v>
      </c>
      <c r="J126" s="3">
        <v>24</v>
      </c>
      <c r="K126" s="3">
        <v>388</v>
      </c>
      <c r="L126" s="3">
        <v>9312</v>
      </c>
    </row>
    <row r="127" spans="1:12">
      <c r="A127" s="3" t="s">
        <v>209</v>
      </c>
      <c r="B127" s="25">
        <v>46199</v>
      </c>
      <c r="C127" s="3" t="s">
        <v>30</v>
      </c>
      <c r="D127" s="3" t="s">
        <v>44</v>
      </c>
      <c r="E127" s="3" t="s">
        <v>210</v>
      </c>
      <c r="F127" s="3" t="s">
        <v>131</v>
      </c>
      <c r="G127" s="3" t="s">
        <v>32</v>
      </c>
      <c r="H127" s="3" t="s">
        <v>58</v>
      </c>
      <c r="I127" s="3" t="s">
        <v>23</v>
      </c>
      <c r="J127" s="3">
        <v>14</v>
      </c>
      <c r="K127" s="3">
        <v>453</v>
      </c>
      <c r="L127" s="3">
        <v>6342</v>
      </c>
    </row>
    <row r="128" spans="1:12">
      <c r="A128" s="3" t="s">
        <v>209</v>
      </c>
      <c r="B128" s="25">
        <v>46199</v>
      </c>
      <c r="C128" s="3" t="s">
        <v>95</v>
      </c>
      <c r="D128" s="3" t="s">
        <v>95</v>
      </c>
      <c r="E128" s="3" t="s">
        <v>271</v>
      </c>
      <c r="F128" s="3" t="s">
        <v>103</v>
      </c>
      <c r="G128" s="3" t="s">
        <v>41</v>
      </c>
      <c r="H128" s="3" t="s">
        <v>22</v>
      </c>
      <c r="I128" s="3" t="s">
        <v>23</v>
      </c>
      <c r="J128" s="3">
        <v>14</v>
      </c>
      <c r="K128" s="3">
        <v>411</v>
      </c>
      <c r="L128" s="3">
        <v>5754</v>
      </c>
    </row>
    <row r="129" spans="1:12">
      <c r="A129" s="3" t="s">
        <v>94</v>
      </c>
      <c r="B129" s="25">
        <v>46199</v>
      </c>
      <c r="C129" s="3" t="s">
        <v>44</v>
      </c>
      <c r="D129" s="3" t="s">
        <v>44</v>
      </c>
      <c r="E129" s="3" t="s">
        <v>276</v>
      </c>
      <c r="F129" s="3" t="s">
        <v>164</v>
      </c>
      <c r="G129" s="3" t="s">
        <v>32</v>
      </c>
      <c r="H129" s="3" t="s">
        <v>33</v>
      </c>
      <c r="I129" s="3" t="s">
        <v>23</v>
      </c>
      <c r="J129" s="3">
        <v>4</v>
      </c>
      <c r="K129" s="3">
        <v>397</v>
      </c>
      <c r="L129" s="3">
        <v>1588</v>
      </c>
    </row>
    <row r="130" spans="1:12">
      <c r="A130" s="3" t="s">
        <v>94</v>
      </c>
      <c r="B130" s="25">
        <v>46199</v>
      </c>
      <c r="C130" s="3" t="s">
        <v>88</v>
      </c>
      <c r="D130" s="3" t="s">
        <v>25</v>
      </c>
      <c r="E130" s="3" t="s">
        <v>53</v>
      </c>
      <c r="F130" s="3" t="s">
        <v>54</v>
      </c>
      <c r="G130" s="3" t="s">
        <v>50</v>
      </c>
      <c r="H130" s="3" t="s">
        <v>42</v>
      </c>
      <c r="I130" s="3" t="s">
        <v>23</v>
      </c>
      <c r="J130" s="3">
        <v>2</v>
      </c>
      <c r="K130" s="3">
        <v>423</v>
      </c>
      <c r="L130" s="3">
        <v>846</v>
      </c>
    </row>
    <row r="131" spans="1:12">
      <c r="A131" s="3" t="s">
        <v>329</v>
      </c>
      <c r="B131" s="25">
        <v>46199</v>
      </c>
      <c r="C131" s="3" t="s">
        <v>120</v>
      </c>
      <c r="D131" s="3" t="s">
        <v>120</v>
      </c>
      <c r="E131" s="3" t="s">
        <v>68</v>
      </c>
      <c r="F131" s="3" t="s">
        <v>36</v>
      </c>
      <c r="G131" s="3" t="s">
        <v>50</v>
      </c>
      <c r="H131" s="3" t="s">
        <v>22</v>
      </c>
      <c r="I131" s="3" t="s">
        <v>23</v>
      </c>
      <c r="J131" s="3">
        <v>14</v>
      </c>
      <c r="K131" s="3">
        <v>402</v>
      </c>
      <c r="L131" s="3">
        <v>5628</v>
      </c>
    </row>
    <row r="132" spans="1:12">
      <c r="A132" s="3" t="s">
        <v>24</v>
      </c>
      <c r="B132" s="25">
        <v>46200</v>
      </c>
      <c r="C132" s="3" t="s">
        <v>25</v>
      </c>
      <c r="D132" s="3" t="s">
        <v>25</v>
      </c>
      <c r="E132" s="3" t="s">
        <v>26</v>
      </c>
      <c r="F132" s="3" t="s">
        <v>27</v>
      </c>
      <c r="G132" s="3" t="s">
        <v>14</v>
      </c>
      <c r="H132" s="3" t="s">
        <v>28</v>
      </c>
      <c r="I132" s="3" t="s">
        <v>23</v>
      </c>
      <c r="J132" s="4"/>
      <c r="K132" s="3">
        <v>287</v>
      </c>
      <c r="L132" s="4"/>
    </row>
    <row r="133" spans="1:12">
      <c r="A133" s="3" t="s">
        <v>123</v>
      </c>
      <c r="B133" s="25">
        <v>46200</v>
      </c>
      <c r="C133" s="3" t="s">
        <v>11</v>
      </c>
      <c r="D133" s="3" t="s">
        <v>120</v>
      </c>
      <c r="E133" s="3" t="s">
        <v>35</v>
      </c>
      <c r="F133" s="3" t="s">
        <v>36</v>
      </c>
      <c r="G133" s="3" t="s">
        <v>14</v>
      </c>
      <c r="H133" s="3" t="s">
        <v>22</v>
      </c>
      <c r="I133" s="3" t="s">
        <v>23</v>
      </c>
      <c r="J133" s="3">
        <v>3</v>
      </c>
      <c r="K133" s="3">
        <v>408</v>
      </c>
      <c r="L133" s="3">
        <v>1224</v>
      </c>
    </row>
    <row r="134" spans="1:12">
      <c r="A134" s="3" t="s">
        <v>24</v>
      </c>
      <c r="B134" s="25">
        <v>46200</v>
      </c>
      <c r="C134" s="3" t="s">
        <v>38</v>
      </c>
      <c r="D134" s="3" t="s">
        <v>139</v>
      </c>
      <c r="E134" s="3" t="s">
        <v>39</v>
      </c>
      <c r="F134" s="3" t="s">
        <v>40</v>
      </c>
      <c r="G134" s="3" t="s">
        <v>41</v>
      </c>
      <c r="H134" s="3" t="s">
        <v>15</v>
      </c>
      <c r="I134" s="3" t="s">
        <v>16</v>
      </c>
      <c r="J134" s="3">
        <v>22</v>
      </c>
      <c r="K134" s="3">
        <v>749</v>
      </c>
      <c r="L134" s="3">
        <v>16478</v>
      </c>
    </row>
    <row r="135" spans="1:12">
      <c r="A135" s="3" t="s">
        <v>24</v>
      </c>
      <c r="B135" s="25">
        <v>46200</v>
      </c>
      <c r="C135" s="3" t="s">
        <v>11</v>
      </c>
      <c r="D135" s="3" t="s">
        <v>120</v>
      </c>
      <c r="E135" s="3" t="s">
        <v>68</v>
      </c>
      <c r="F135" s="3" t="s">
        <v>36</v>
      </c>
      <c r="G135" s="3" t="s">
        <v>50</v>
      </c>
      <c r="H135" s="3" t="s">
        <v>28</v>
      </c>
      <c r="I135" s="3" t="s">
        <v>23</v>
      </c>
      <c r="J135" s="3">
        <v>3</v>
      </c>
      <c r="K135" s="3">
        <v>295</v>
      </c>
      <c r="L135" s="3">
        <v>885</v>
      </c>
    </row>
    <row r="136" spans="1:12">
      <c r="A136" s="3" t="s">
        <v>326</v>
      </c>
      <c r="B136" s="25">
        <v>46200</v>
      </c>
      <c r="C136" s="3" t="s">
        <v>18</v>
      </c>
      <c r="D136" s="3" t="s">
        <v>95</v>
      </c>
      <c r="E136" s="3" t="s">
        <v>234</v>
      </c>
      <c r="F136" s="3" t="s">
        <v>235</v>
      </c>
      <c r="G136" s="3" t="s">
        <v>50</v>
      </c>
      <c r="H136" s="3" t="s">
        <v>33</v>
      </c>
      <c r="I136" s="3" t="s">
        <v>23</v>
      </c>
      <c r="J136" s="3">
        <v>23</v>
      </c>
      <c r="K136" s="3">
        <v>405</v>
      </c>
      <c r="L136" s="3">
        <v>9315</v>
      </c>
    </row>
    <row r="137" spans="1:12">
      <c r="A137" s="3" t="s">
        <v>211</v>
      </c>
      <c r="B137" s="25">
        <v>46201</v>
      </c>
      <c r="C137" s="3" t="s">
        <v>88</v>
      </c>
      <c r="D137" s="3" t="s">
        <v>25</v>
      </c>
      <c r="E137" s="3" t="s">
        <v>156</v>
      </c>
      <c r="F137" s="3" t="s">
        <v>80</v>
      </c>
      <c r="G137" s="3" t="s">
        <v>32</v>
      </c>
      <c r="H137" s="3" t="s">
        <v>22</v>
      </c>
      <c r="I137" s="3" t="s">
        <v>23</v>
      </c>
      <c r="J137" s="3">
        <v>15</v>
      </c>
      <c r="K137" s="3">
        <v>402</v>
      </c>
      <c r="L137" s="3">
        <v>6030</v>
      </c>
    </row>
    <row r="138" spans="1:12">
      <c r="A138" s="3" t="s">
        <v>211</v>
      </c>
      <c r="B138" s="25">
        <v>46201</v>
      </c>
      <c r="C138" s="3" t="s">
        <v>11</v>
      </c>
      <c r="D138" s="3" t="s">
        <v>120</v>
      </c>
      <c r="E138" s="3" t="s">
        <v>258</v>
      </c>
      <c r="F138" s="3" t="s">
        <v>100</v>
      </c>
      <c r="G138" s="3" t="s">
        <v>41</v>
      </c>
      <c r="H138" s="3" t="s">
        <v>28</v>
      </c>
      <c r="I138" s="3" t="s">
        <v>23</v>
      </c>
      <c r="J138" s="3">
        <v>4</v>
      </c>
      <c r="K138" s="3">
        <v>282</v>
      </c>
      <c r="L138" s="3">
        <v>1128</v>
      </c>
    </row>
    <row r="139" spans="1:12">
      <c r="A139" s="3" t="s">
        <v>320</v>
      </c>
      <c r="B139" s="25">
        <v>46201</v>
      </c>
      <c r="C139" s="3" t="s">
        <v>110</v>
      </c>
      <c r="D139" s="3" t="s">
        <v>95</v>
      </c>
      <c r="E139" s="3" t="s">
        <v>294</v>
      </c>
      <c r="F139" s="3" t="s">
        <v>71</v>
      </c>
      <c r="G139" s="3" t="s">
        <v>14</v>
      </c>
      <c r="H139" s="3" t="s">
        <v>22</v>
      </c>
      <c r="I139" s="3" t="s">
        <v>23</v>
      </c>
      <c r="J139" s="3">
        <v>24</v>
      </c>
      <c r="K139" s="3">
        <v>411</v>
      </c>
      <c r="L139" s="3">
        <v>9864</v>
      </c>
    </row>
    <row r="140" spans="1:12">
      <c r="A140" s="3" t="s">
        <v>197</v>
      </c>
      <c r="B140" s="25">
        <v>46202</v>
      </c>
      <c r="C140" s="3" t="s">
        <v>88</v>
      </c>
      <c r="D140" s="3" t="s">
        <v>25</v>
      </c>
      <c r="E140" s="3" t="s">
        <v>198</v>
      </c>
      <c r="F140" s="3" t="s">
        <v>40</v>
      </c>
      <c r="G140" s="3" t="s">
        <v>21</v>
      </c>
      <c r="H140" s="3" t="s">
        <v>28</v>
      </c>
      <c r="I140" s="3" t="s">
        <v>23</v>
      </c>
      <c r="J140" s="3">
        <v>8</v>
      </c>
      <c r="K140" s="3">
        <v>288</v>
      </c>
      <c r="L140" s="3">
        <v>2304</v>
      </c>
    </row>
    <row r="141" spans="1:12">
      <c r="A141" s="3" t="s">
        <v>250</v>
      </c>
      <c r="B141" s="25">
        <v>46202</v>
      </c>
      <c r="C141" s="3" t="s">
        <v>110</v>
      </c>
      <c r="D141" s="3" t="s">
        <v>95</v>
      </c>
      <c r="E141" s="3" t="s">
        <v>251</v>
      </c>
      <c r="F141" s="3" t="s">
        <v>137</v>
      </c>
      <c r="G141" s="3" t="s">
        <v>50</v>
      </c>
      <c r="H141" s="3" t="s">
        <v>42</v>
      </c>
      <c r="I141" s="3" t="s">
        <v>23</v>
      </c>
      <c r="J141" s="3">
        <v>5</v>
      </c>
      <c r="K141" s="3">
        <v>436</v>
      </c>
      <c r="L141" s="3">
        <v>2180</v>
      </c>
    </row>
    <row r="142" spans="1:12">
      <c r="A142" s="3" t="s">
        <v>289</v>
      </c>
      <c r="B142" s="25">
        <v>46202</v>
      </c>
      <c r="C142" s="3" t="s">
        <v>108</v>
      </c>
      <c r="D142" s="3" t="s">
        <v>44</v>
      </c>
      <c r="E142" s="3" t="s">
        <v>210</v>
      </c>
      <c r="F142" s="3" t="s">
        <v>131</v>
      </c>
      <c r="G142" s="3" t="s">
        <v>32</v>
      </c>
      <c r="H142" s="3" t="s">
        <v>42</v>
      </c>
      <c r="I142" s="3" t="s">
        <v>23</v>
      </c>
      <c r="J142" s="3">
        <v>11</v>
      </c>
      <c r="K142" s="3">
        <v>417</v>
      </c>
      <c r="L142" s="3">
        <v>4587</v>
      </c>
    </row>
    <row r="143" spans="1:12">
      <c r="A143" s="3" t="s">
        <v>289</v>
      </c>
      <c r="B143" s="25">
        <v>46202</v>
      </c>
      <c r="C143" s="3" t="s">
        <v>88</v>
      </c>
      <c r="D143" s="3" t="s">
        <v>25</v>
      </c>
      <c r="E143" s="3" t="s">
        <v>281</v>
      </c>
      <c r="F143" s="3" t="s">
        <v>131</v>
      </c>
      <c r="G143" s="3" t="s">
        <v>32</v>
      </c>
      <c r="H143" s="3" t="s">
        <v>22</v>
      </c>
      <c r="I143" s="3" t="s">
        <v>23</v>
      </c>
      <c r="J143" s="3">
        <v>20</v>
      </c>
      <c r="K143" s="3">
        <v>407</v>
      </c>
      <c r="L143" s="3">
        <v>8140</v>
      </c>
    </row>
    <row r="144" spans="1:12">
      <c r="A144" s="3" t="s">
        <v>250</v>
      </c>
      <c r="B144" s="25">
        <v>46202</v>
      </c>
      <c r="C144" s="3" t="s">
        <v>25</v>
      </c>
      <c r="D144" s="3" t="s">
        <v>25</v>
      </c>
      <c r="E144" s="3" t="s">
        <v>181</v>
      </c>
      <c r="F144" s="3" t="s">
        <v>131</v>
      </c>
      <c r="G144" s="3" t="s">
        <v>41</v>
      </c>
      <c r="H144" s="3" t="s">
        <v>28</v>
      </c>
      <c r="I144" s="3" t="s">
        <v>23</v>
      </c>
      <c r="J144" s="3">
        <v>23</v>
      </c>
      <c r="K144" s="3">
        <v>287</v>
      </c>
      <c r="L144" s="3">
        <v>6601</v>
      </c>
    </row>
    <row r="145" spans="1:12">
      <c r="A145" s="3" t="s">
        <v>250</v>
      </c>
      <c r="B145" s="25">
        <v>46202</v>
      </c>
      <c r="C145" s="3" t="s">
        <v>30</v>
      </c>
      <c r="D145" s="3" t="s">
        <v>44</v>
      </c>
      <c r="E145" s="3" t="s">
        <v>282</v>
      </c>
      <c r="F145" s="3" t="s">
        <v>131</v>
      </c>
      <c r="G145" s="3" t="s">
        <v>41</v>
      </c>
      <c r="H145" s="3" t="s">
        <v>15</v>
      </c>
      <c r="I145" s="3" t="s">
        <v>16</v>
      </c>
      <c r="J145" s="3">
        <v>11</v>
      </c>
      <c r="K145" s="3">
        <v>750</v>
      </c>
      <c r="L145" s="3">
        <v>8250</v>
      </c>
    </row>
    <row r="146" spans="1:12">
      <c r="A146" s="3" t="s">
        <v>250</v>
      </c>
      <c r="B146" s="25">
        <v>46202</v>
      </c>
      <c r="C146" s="3" t="s">
        <v>110</v>
      </c>
      <c r="D146" s="3" t="s">
        <v>95</v>
      </c>
      <c r="E146" s="3" t="s">
        <v>271</v>
      </c>
      <c r="F146" s="3" t="s">
        <v>103</v>
      </c>
      <c r="G146" s="3" t="s">
        <v>41</v>
      </c>
      <c r="H146" s="3" t="s">
        <v>33</v>
      </c>
      <c r="I146" s="3" t="s">
        <v>23</v>
      </c>
      <c r="J146" s="3">
        <v>7</v>
      </c>
      <c r="K146" s="3">
        <v>402</v>
      </c>
      <c r="L146" s="3">
        <v>2814</v>
      </c>
    </row>
    <row r="147" spans="1:12">
      <c r="A147" s="3" t="s">
        <v>122</v>
      </c>
      <c r="B147" s="25">
        <v>46203</v>
      </c>
      <c r="C147" s="3" t="s">
        <v>108</v>
      </c>
      <c r="D147" s="3" t="s">
        <v>44</v>
      </c>
      <c r="E147" s="3" t="s">
        <v>70</v>
      </c>
      <c r="F147" s="3" t="s">
        <v>71</v>
      </c>
      <c r="G147" s="3" t="s">
        <v>50</v>
      </c>
      <c r="H147" s="3" t="s">
        <v>58</v>
      </c>
      <c r="I147" s="3" t="s">
        <v>23</v>
      </c>
      <c r="J147" s="3">
        <v>25</v>
      </c>
      <c r="K147" s="3">
        <v>456</v>
      </c>
      <c r="L147" s="3">
        <v>11400</v>
      </c>
    </row>
    <row r="148" spans="1:12">
      <c r="A148" s="3" t="s">
        <v>122</v>
      </c>
      <c r="B148" s="25">
        <v>46203</v>
      </c>
      <c r="C148" s="3" t="s">
        <v>38</v>
      </c>
      <c r="D148" s="3" t="s">
        <v>139</v>
      </c>
      <c r="E148" s="3" t="s">
        <v>207</v>
      </c>
      <c r="F148" s="3" t="s">
        <v>196</v>
      </c>
      <c r="G148" s="3" t="s">
        <v>50</v>
      </c>
      <c r="H148" s="3" t="s">
        <v>33</v>
      </c>
      <c r="I148" s="3" t="s">
        <v>23</v>
      </c>
      <c r="J148" s="3">
        <v>5</v>
      </c>
      <c r="K148" s="3">
        <v>400</v>
      </c>
      <c r="L148" s="3">
        <v>2000</v>
      </c>
    </row>
    <row r="149" spans="1:12">
      <c r="A149" s="3" t="s">
        <v>295</v>
      </c>
      <c r="B149" s="25">
        <v>46203</v>
      </c>
      <c r="C149" s="3" t="s">
        <v>139</v>
      </c>
      <c r="D149" s="3" t="s">
        <v>139</v>
      </c>
      <c r="E149" s="3" t="s">
        <v>296</v>
      </c>
      <c r="F149" s="3" t="s">
        <v>103</v>
      </c>
      <c r="G149" s="3" t="s">
        <v>32</v>
      </c>
      <c r="H149" s="3" t="s">
        <v>15</v>
      </c>
      <c r="I149" s="3" t="s">
        <v>16</v>
      </c>
      <c r="J149" s="3">
        <v>1</v>
      </c>
      <c r="K149" s="3">
        <v>748</v>
      </c>
      <c r="L149" s="3">
        <v>748</v>
      </c>
    </row>
    <row r="150" spans="1:12">
      <c r="A150" s="3" t="s">
        <v>324</v>
      </c>
      <c r="B150" s="25">
        <v>46203</v>
      </c>
      <c r="C150" s="3" t="s">
        <v>44</v>
      </c>
      <c r="D150" s="3" t="s">
        <v>44</v>
      </c>
      <c r="E150" s="3" t="s">
        <v>174</v>
      </c>
      <c r="F150" s="3" t="s">
        <v>46</v>
      </c>
      <c r="G150" s="3" t="s">
        <v>21</v>
      </c>
      <c r="H150" s="3" t="s">
        <v>28</v>
      </c>
      <c r="I150" s="3" t="s">
        <v>23</v>
      </c>
      <c r="J150" s="3">
        <v>1</v>
      </c>
      <c r="K150" s="3">
        <v>288</v>
      </c>
      <c r="L150" s="3">
        <v>288</v>
      </c>
    </row>
    <row r="151" spans="1:12">
      <c r="A151" s="3" t="s">
        <v>81</v>
      </c>
      <c r="B151" s="25">
        <v>46205</v>
      </c>
      <c r="C151" s="3" t="s">
        <v>25</v>
      </c>
      <c r="D151" s="3" t="s">
        <v>25</v>
      </c>
      <c r="E151" s="3" t="s">
        <v>82</v>
      </c>
      <c r="F151" s="3" t="s">
        <v>83</v>
      </c>
      <c r="G151" s="3" t="s">
        <v>41</v>
      </c>
      <c r="H151" s="3" t="s">
        <v>15</v>
      </c>
      <c r="I151" s="3" t="s">
        <v>16</v>
      </c>
      <c r="J151" s="3">
        <v>11</v>
      </c>
      <c r="K151" s="3">
        <v>754</v>
      </c>
      <c r="L151" s="3">
        <v>8294</v>
      </c>
    </row>
    <row r="152" spans="1:12">
      <c r="A152" s="3" t="s">
        <v>189</v>
      </c>
      <c r="B152" s="25">
        <v>46205</v>
      </c>
      <c r="C152" s="3" t="s">
        <v>25</v>
      </c>
      <c r="D152" s="3" t="s">
        <v>25</v>
      </c>
      <c r="E152" s="3" t="s">
        <v>190</v>
      </c>
      <c r="F152" s="3" t="s">
        <v>93</v>
      </c>
      <c r="G152" s="3" t="s">
        <v>14</v>
      </c>
      <c r="H152" s="3" t="s">
        <v>33</v>
      </c>
      <c r="I152" s="3" t="s">
        <v>23</v>
      </c>
      <c r="J152" s="3">
        <v>17</v>
      </c>
      <c r="K152" s="3">
        <v>392</v>
      </c>
      <c r="L152" s="3">
        <v>6664</v>
      </c>
    </row>
    <row r="153" spans="1:12">
      <c r="A153" s="3" t="s">
        <v>205</v>
      </c>
      <c r="B153" s="25">
        <v>46205</v>
      </c>
      <c r="C153" s="3" t="s">
        <v>11</v>
      </c>
      <c r="D153" s="3" t="s">
        <v>120</v>
      </c>
      <c r="E153" s="3" t="s">
        <v>188</v>
      </c>
      <c r="F153" s="3" t="s">
        <v>152</v>
      </c>
      <c r="G153" s="3" t="s">
        <v>21</v>
      </c>
      <c r="H153" s="3" t="s">
        <v>15</v>
      </c>
      <c r="I153" s="3" t="s">
        <v>16</v>
      </c>
      <c r="J153" s="3">
        <v>3</v>
      </c>
      <c r="K153" s="3">
        <v>755</v>
      </c>
      <c r="L153" s="3">
        <v>2265</v>
      </c>
    </row>
    <row r="154" spans="1:12">
      <c r="A154" s="3" t="s">
        <v>205</v>
      </c>
      <c r="B154" s="25">
        <v>46205</v>
      </c>
      <c r="C154" s="3" t="s">
        <v>44</v>
      </c>
      <c r="D154" s="3" t="s">
        <v>44</v>
      </c>
      <c r="E154" s="3" t="s">
        <v>45</v>
      </c>
      <c r="F154" s="3" t="s">
        <v>46</v>
      </c>
      <c r="G154" s="3" t="s">
        <v>14</v>
      </c>
      <c r="H154" s="3" t="s">
        <v>58</v>
      </c>
      <c r="I154" s="3" t="s">
        <v>23</v>
      </c>
      <c r="J154" s="3">
        <v>10</v>
      </c>
      <c r="K154" s="3">
        <v>453</v>
      </c>
      <c r="L154" s="3">
        <v>4530</v>
      </c>
    </row>
    <row r="155" spans="1:12">
      <c r="A155" s="3" t="s">
        <v>189</v>
      </c>
      <c r="B155" s="25">
        <v>46205</v>
      </c>
      <c r="C155" s="3" t="s">
        <v>110</v>
      </c>
      <c r="D155" s="3" t="s">
        <v>95</v>
      </c>
      <c r="E155" s="3" t="s">
        <v>220</v>
      </c>
      <c r="F155" s="3" t="s">
        <v>221</v>
      </c>
      <c r="G155" s="3" t="s">
        <v>21</v>
      </c>
      <c r="H155" s="3" t="s">
        <v>15</v>
      </c>
      <c r="I155" s="3" t="s">
        <v>16</v>
      </c>
      <c r="J155" s="3">
        <v>17</v>
      </c>
      <c r="K155" s="3">
        <v>749</v>
      </c>
      <c r="L155" s="3">
        <v>12733</v>
      </c>
    </row>
    <row r="156" spans="1:12">
      <c r="A156" s="3" t="s">
        <v>189</v>
      </c>
      <c r="B156" s="25">
        <v>46205</v>
      </c>
      <c r="C156" s="3" t="s">
        <v>120</v>
      </c>
      <c r="D156" s="3" t="s">
        <v>120</v>
      </c>
      <c r="E156" s="3" t="s">
        <v>125</v>
      </c>
      <c r="F156" s="3" t="s">
        <v>112</v>
      </c>
      <c r="G156" s="3" t="s">
        <v>32</v>
      </c>
      <c r="H156" s="3" t="s">
        <v>42</v>
      </c>
      <c r="I156" s="3" t="s">
        <v>23</v>
      </c>
      <c r="J156" s="3">
        <v>13</v>
      </c>
      <c r="K156" s="3">
        <v>423</v>
      </c>
      <c r="L156" s="3">
        <v>5499</v>
      </c>
    </row>
    <row r="157" spans="1:12">
      <c r="A157" s="3" t="s">
        <v>81</v>
      </c>
      <c r="B157" s="25">
        <v>46205</v>
      </c>
      <c r="C157" s="3" t="s">
        <v>139</v>
      </c>
      <c r="D157" s="3" t="s">
        <v>139</v>
      </c>
      <c r="E157" s="3" t="s">
        <v>253</v>
      </c>
      <c r="F157" s="3" t="s">
        <v>239</v>
      </c>
      <c r="G157" s="3" t="s">
        <v>21</v>
      </c>
      <c r="H157" s="3" t="s">
        <v>58</v>
      </c>
      <c r="I157" s="3" t="s">
        <v>23</v>
      </c>
      <c r="J157" s="3">
        <v>17</v>
      </c>
      <c r="K157" s="3">
        <v>457</v>
      </c>
      <c r="L157" s="3">
        <v>7769</v>
      </c>
    </row>
    <row r="158" spans="1:12">
      <c r="A158" s="3" t="s">
        <v>81</v>
      </c>
      <c r="B158" s="25">
        <v>46205</v>
      </c>
      <c r="C158" s="3" t="s">
        <v>25</v>
      </c>
      <c r="D158" s="3" t="s">
        <v>25</v>
      </c>
      <c r="E158" s="3" t="s">
        <v>307</v>
      </c>
      <c r="F158" s="3" t="s">
        <v>115</v>
      </c>
      <c r="G158" s="3" t="s">
        <v>14</v>
      </c>
      <c r="H158" s="3" t="s">
        <v>28</v>
      </c>
      <c r="I158" s="3" t="s">
        <v>23</v>
      </c>
      <c r="J158" s="3">
        <v>16</v>
      </c>
      <c r="K158" s="3">
        <v>287</v>
      </c>
      <c r="L158" s="3">
        <v>4592</v>
      </c>
    </row>
    <row r="159" spans="1:12">
      <c r="A159" s="3" t="s">
        <v>17</v>
      </c>
      <c r="B159" s="25">
        <v>46206</v>
      </c>
      <c r="C159" s="3" t="s">
        <v>18</v>
      </c>
      <c r="D159" s="3" t="s">
        <v>95</v>
      </c>
      <c r="E159" s="3" t="s">
        <v>19</v>
      </c>
      <c r="F159" s="3" t="s">
        <v>20</v>
      </c>
      <c r="G159" s="3" t="s">
        <v>21</v>
      </c>
      <c r="H159" s="3" t="s">
        <v>22</v>
      </c>
      <c r="I159" s="3" t="s">
        <v>23</v>
      </c>
      <c r="J159" s="3">
        <v>15</v>
      </c>
      <c r="K159" s="3">
        <v>410</v>
      </c>
      <c r="L159" s="3">
        <v>6150</v>
      </c>
    </row>
    <row r="160" spans="1:12">
      <c r="A160" s="3" t="s">
        <v>216</v>
      </c>
      <c r="B160" s="25">
        <v>46206</v>
      </c>
      <c r="C160" s="3" t="s">
        <v>18</v>
      </c>
      <c r="D160" s="3" t="s">
        <v>95</v>
      </c>
      <c r="E160" s="3" t="s">
        <v>217</v>
      </c>
      <c r="F160" s="3" t="s">
        <v>93</v>
      </c>
      <c r="G160" s="3" t="s">
        <v>14</v>
      </c>
      <c r="H160" s="3" t="s">
        <v>33</v>
      </c>
      <c r="I160" s="3" t="s">
        <v>23</v>
      </c>
      <c r="J160" s="3">
        <v>3</v>
      </c>
      <c r="K160" s="3">
        <v>383</v>
      </c>
      <c r="L160" s="3">
        <v>1149</v>
      </c>
    </row>
    <row r="161" spans="1:12">
      <c r="A161" s="3" t="s">
        <v>216</v>
      </c>
      <c r="B161" s="25">
        <v>46206</v>
      </c>
      <c r="C161" s="3" t="s">
        <v>25</v>
      </c>
      <c r="D161" s="3" t="s">
        <v>25</v>
      </c>
      <c r="E161" s="3" t="s">
        <v>190</v>
      </c>
      <c r="F161" s="3" t="s">
        <v>93</v>
      </c>
      <c r="G161" s="3" t="s">
        <v>14</v>
      </c>
      <c r="H161" s="3" t="s">
        <v>33</v>
      </c>
      <c r="I161" s="3" t="s">
        <v>23</v>
      </c>
      <c r="J161" s="3">
        <v>15</v>
      </c>
      <c r="K161" s="3">
        <v>409</v>
      </c>
      <c r="L161" s="3">
        <v>6135</v>
      </c>
    </row>
    <row r="162" spans="1:12">
      <c r="A162" s="3" t="s">
        <v>47</v>
      </c>
      <c r="B162" s="25">
        <v>46207</v>
      </c>
      <c r="C162" s="3" t="s">
        <v>30</v>
      </c>
      <c r="D162" s="3" t="s">
        <v>44</v>
      </c>
      <c r="E162" s="3" t="s">
        <v>48</v>
      </c>
      <c r="F162" s="3" t="s">
        <v>49</v>
      </c>
      <c r="G162" s="3" t="s">
        <v>50</v>
      </c>
      <c r="H162" s="3" t="s">
        <v>22</v>
      </c>
      <c r="I162" s="3" t="s">
        <v>23</v>
      </c>
      <c r="J162" s="3">
        <v>21</v>
      </c>
      <c r="K162" s="3">
        <v>420</v>
      </c>
      <c r="L162" s="3">
        <v>8820</v>
      </c>
    </row>
    <row r="163" spans="1:12">
      <c r="A163" s="3" t="s">
        <v>148</v>
      </c>
      <c r="B163" s="25">
        <v>46207</v>
      </c>
      <c r="C163" s="3" t="s">
        <v>120</v>
      </c>
      <c r="D163" s="3" t="s">
        <v>120</v>
      </c>
      <c r="E163" s="3" t="s">
        <v>149</v>
      </c>
      <c r="F163" s="3" t="s">
        <v>115</v>
      </c>
      <c r="G163" s="3" t="s">
        <v>50</v>
      </c>
      <c r="H163" s="3" t="s">
        <v>58</v>
      </c>
      <c r="I163" s="3" t="s">
        <v>23</v>
      </c>
      <c r="J163" s="3">
        <v>5</v>
      </c>
      <c r="K163" s="3">
        <v>465</v>
      </c>
      <c r="L163" s="3">
        <v>2325</v>
      </c>
    </row>
    <row r="164" spans="1:12">
      <c r="A164" s="3" t="s">
        <v>148</v>
      </c>
      <c r="B164" s="25">
        <v>46207</v>
      </c>
      <c r="C164" s="3" t="s">
        <v>139</v>
      </c>
      <c r="D164" s="3" t="s">
        <v>139</v>
      </c>
      <c r="E164" s="3" t="s">
        <v>114</v>
      </c>
      <c r="F164" s="3" t="s">
        <v>115</v>
      </c>
      <c r="G164" s="3" t="s">
        <v>41</v>
      </c>
      <c r="H164" s="3" t="s">
        <v>22</v>
      </c>
      <c r="I164" s="3" t="s">
        <v>23</v>
      </c>
      <c r="J164" s="3">
        <v>1</v>
      </c>
      <c r="K164" s="3">
        <v>408</v>
      </c>
      <c r="L164" s="3">
        <v>408</v>
      </c>
    </row>
    <row r="165" spans="1:12">
      <c r="A165" s="3" t="s">
        <v>47</v>
      </c>
      <c r="B165" s="25">
        <v>46207</v>
      </c>
      <c r="C165" s="3" t="s">
        <v>18</v>
      </c>
      <c r="D165" s="3" t="s">
        <v>95</v>
      </c>
      <c r="E165" s="3" t="s">
        <v>217</v>
      </c>
      <c r="F165" s="3" t="s">
        <v>93</v>
      </c>
      <c r="G165" s="3" t="s">
        <v>14</v>
      </c>
      <c r="H165" s="3" t="s">
        <v>33</v>
      </c>
      <c r="I165" s="3" t="s">
        <v>23</v>
      </c>
      <c r="J165" s="3">
        <v>4</v>
      </c>
      <c r="K165" s="3">
        <v>400</v>
      </c>
      <c r="L165" s="3">
        <v>1600</v>
      </c>
    </row>
    <row r="166" spans="1:12">
      <c r="A166" s="3" t="s">
        <v>257</v>
      </c>
      <c r="B166" s="25">
        <v>46207</v>
      </c>
      <c r="C166" s="3" t="s">
        <v>120</v>
      </c>
      <c r="D166" s="3" t="s">
        <v>120</v>
      </c>
      <c r="E166" s="3" t="s">
        <v>121</v>
      </c>
      <c r="F166" s="3" t="s">
        <v>63</v>
      </c>
      <c r="G166" s="3" t="s">
        <v>14</v>
      </c>
      <c r="H166" s="3" t="s">
        <v>15</v>
      </c>
      <c r="I166" s="3" t="s">
        <v>16</v>
      </c>
      <c r="J166" s="3">
        <v>25</v>
      </c>
      <c r="K166" s="3">
        <v>749</v>
      </c>
      <c r="L166" s="3">
        <v>18725</v>
      </c>
    </row>
    <row r="167" spans="1:12">
      <c r="A167" s="3" t="s">
        <v>47</v>
      </c>
      <c r="B167" s="25">
        <v>46207</v>
      </c>
      <c r="C167" s="3" t="s">
        <v>38</v>
      </c>
      <c r="D167" s="3" t="s">
        <v>139</v>
      </c>
      <c r="E167" s="3" t="s">
        <v>240</v>
      </c>
      <c r="F167" s="3" t="s">
        <v>239</v>
      </c>
      <c r="G167" s="3" t="s">
        <v>21</v>
      </c>
      <c r="H167" s="3" t="s">
        <v>28</v>
      </c>
      <c r="I167" s="3" t="s">
        <v>23</v>
      </c>
      <c r="J167" s="3">
        <v>22</v>
      </c>
      <c r="K167" s="3">
        <v>298</v>
      </c>
      <c r="L167" s="3">
        <v>6556</v>
      </c>
    </row>
    <row r="168" spans="1:12">
      <c r="A168" s="3" t="s">
        <v>257</v>
      </c>
      <c r="B168" s="25">
        <v>46207</v>
      </c>
      <c r="C168" s="3" t="s">
        <v>38</v>
      </c>
      <c r="D168" s="3" t="s">
        <v>139</v>
      </c>
      <c r="E168" s="3" t="s">
        <v>140</v>
      </c>
      <c r="F168" s="3" t="s">
        <v>118</v>
      </c>
      <c r="G168" s="3" t="s">
        <v>50</v>
      </c>
      <c r="H168" s="3" t="s">
        <v>15</v>
      </c>
      <c r="I168" s="3" t="s">
        <v>16</v>
      </c>
      <c r="J168" s="3">
        <v>10</v>
      </c>
      <c r="K168" s="3">
        <v>755</v>
      </c>
      <c r="L168" s="3">
        <v>7550</v>
      </c>
    </row>
    <row r="169" spans="1:12">
      <c r="A169" s="3" t="s">
        <v>257</v>
      </c>
      <c r="B169" s="25">
        <v>46207</v>
      </c>
      <c r="C169" s="3" t="s">
        <v>18</v>
      </c>
      <c r="D169" s="3" t="s">
        <v>95</v>
      </c>
      <c r="E169" s="3" t="s">
        <v>111</v>
      </c>
      <c r="F169" s="3" t="s">
        <v>112</v>
      </c>
      <c r="G169" s="3" t="s">
        <v>50</v>
      </c>
      <c r="H169" s="3" t="s">
        <v>15</v>
      </c>
      <c r="I169" s="3" t="s">
        <v>16</v>
      </c>
      <c r="J169" s="3">
        <v>14</v>
      </c>
      <c r="K169" s="3">
        <v>756</v>
      </c>
      <c r="L169" s="3">
        <v>10584</v>
      </c>
    </row>
    <row r="170" spans="1:12">
      <c r="A170" s="3" t="s">
        <v>215</v>
      </c>
      <c r="B170" s="25">
        <v>46208</v>
      </c>
      <c r="C170" s="3" t="s">
        <v>11</v>
      </c>
      <c r="D170" s="3" t="s">
        <v>120</v>
      </c>
      <c r="E170" s="3" t="s">
        <v>188</v>
      </c>
      <c r="F170" s="3" t="s">
        <v>152</v>
      </c>
      <c r="G170" s="3" t="s">
        <v>21</v>
      </c>
      <c r="H170" s="3" t="s">
        <v>15</v>
      </c>
      <c r="I170" s="3" t="s">
        <v>16</v>
      </c>
      <c r="J170" s="3">
        <v>22</v>
      </c>
      <c r="K170" s="3">
        <v>763</v>
      </c>
      <c r="L170" s="3">
        <v>16786</v>
      </c>
    </row>
    <row r="171" spans="1:12">
      <c r="A171" s="3" t="s">
        <v>286</v>
      </c>
      <c r="B171" s="25">
        <v>46208</v>
      </c>
      <c r="C171" s="3" t="s">
        <v>120</v>
      </c>
      <c r="D171" s="3" t="s">
        <v>120</v>
      </c>
      <c r="E171" s="3" t="s">
        <v>92</v>
      </c>
      <c r="F171" s="3" t="s">
        <v>93</v>
      </c>
      <c r="G171" s="3" t="s">
        <v>14</v>
      </c>
      <c r="H171" s="3" t="s">
        <v>42</v>
      </c>
      <c r="I171" s="3" t="s">
        <v>23</v>
      </c>
      <c r="J171" s="3">
        <v>22</v>
      </c>
      <c r="K171" s="3">
        <v>411</v>
      </c>
      <c r="L171" s="3">
        <v>9042</v>
      </c>
    </row>
    <row r="172" spans="1:12">
      <c r="A172" s="3" t="s">
        <v>132</v>
      </c>
      <c r="B172" s="25">
        <v>46209</v>
      </c>
      <c r="C172" s="3" t="s">
        <v>88</v>
      </c>
      <c r="D172" s="3" t="s">
        <v>25</v>
      </c>
      <c r="E172" s="3" t="s">
        <v>102</v>
      </c>
      <c r="F172" s="3" t="s">
        <v>103</v>
      </c>
      <c r="G172" s="3" t="s">
        <v>14</v>
      </c>
      <c r="H172" s="3" t="s">
        <v>22</v>
      </c>
      <c r="I172" s="3" t="s">
        <v>23</v>
      </c>
      <c r="J172" s="3">
        <v>15</v>
      </c>
      <c r="K172" s="3">
        <v>410</v>
      </c>
      <c r="L172" s="3">
        <v>6150</v>
      </c>
    </row>
    <row r="173" spans="1:12">
      <c r="A173" s="3" t="s">
        <v>132</v>
      </c>
      <c r="B173" s="25">
        <v>46209</v>
      </c>
      <c r="C173" s="3" t="s">
        <v>11</v>
      </c>
      <c r="D173" s="3" t="s">
        <v>120</v>
      </c>
      <c r="E173" s="3" t="s">
        <v>121</v>
      </c>
      <c r="F173" s="3" t="s">
        <v>63</v>
      </c>
      <c r="G173" s="3" t="s">
        <v>14</v>
      </c>
      <c r="H173" s="3" t="s">
        <v>33</v>
      </c>
      <c r="I173" s="3" t="s">
        <v>23</v>
      </c>
      <c r="J173" s="3">
        <v>15</v>
      </c>
      <c r="K173" s="3">
        <v>405</v>
      </c>
      <c r="L173" s="3">
        <v>6075</v>
      </c>
    </row>
    <row r="174" spans="1:12">
      <c r="A174" s="3" t="s">
        <v>260</v>
      </c>
      <c r="B174" s="25">
        <v>46209</v>
      </c>
      <c r="C174" s="3" t="s">
        <v>88</v>
      </c>
      <c r="D174" s="3" t="s">
        <v>25</v>
      </c>
      <c r="E174" s="3" t="s">
        <v>76</v>
      </c>
      <c r="F174" s="3" t="s">
        <v>77</v>
      </c>
      <c r="G174" s="3" t="s">
        <v>41</v>
      </c>
      <c r="H174" s="3" t="s">
        <v>22</v>
      </c>
      <c r="I174" s="3" t="s">
        <v>23</v>
      </c>
      <c r="J174" s="3">
        <v>8</v>
      </c>
      <c r="K174" s="3">
        <v>409</v>
      </c>
      <c r="L174" s="3">
        <v>3272</v>
      </c>
    </row>
    <row r="175" spans="1:12">
      <c r="A175" s="3" t="s">
        <v>132</v>
      </c>
      <c r="B175" s="25">
        <v>46209</v>
      </c>
      <c r="C175" s="3" t="s">
        <v>139</v>
      </c>
      <c r="D175" s="3" t="s">
        <v>139</v>
      </c>
      <c r="E175" s="3" t="s">
        <v>140</v>
      </c>
      <c r="F175" s="3" t="s">
        <v>118</v>
      </c>
      <c r="G175" s="3" t="s">
        <v>50</v>
      </c>
      <c r="H175" s="3" t="s">
        <v>28</v>
      </c>
      <c r="I175" s="3" t="s">
        <v>23</v>
      </c>
      <c r="J175" s="3">
        <v>15</v>
      </c>
      <c r="K175" s="3">
        <v>292</v>
      </c>
      <c r="L175" s="3">
        <v>4380</v>
      </c>
    </row>
    <row r="176" spans="1:12">
      <c r="A176" s="3" t="s">
        <v>143</v>
      </c>
      <c r="B176" s="25">
        <v>46210</v>
      </c>
      <c r="C176" s="3" t="s">
        <v>95</v>
      </c>
      <c r="D176" s="3" t="s">
        <v>95</v>
      </c>
      <c r="E176" s="3" t="s">
        <v>144</v>
      </c>
      <c r="F176" s="3" t="s">
        <v>118</v>
      </c>
      <c r="G176" s="3" t="s">
        <v>50</v>
      </c>
      <c r="H176" s="3" t="s">
        <v>22</v>
      </c>
      <c r="I176" s="3" t="s">
        <v>23</v>
      </c>
      <c r="J176" s="3">
        <v>20</v>
      </c>
      <c r="K176" s="3">
        <v>399</v>
      </c>
      <c r="L176" s="3">
        <v>7980</v>
      </c>
    </row>
    <row r="177" spans="1:12">
      <c r="A177" s="3" t="s">
        <v>158</v>
      </c>
      <c r="B177" s="25">
        <v>46210</v>
      </c>
      <c r="C177" s="3" t="s">
        <v>11</v>
      </c>
      <c r="D177" s="3" t="s">
        <v>120</v>
      </c>
      <c r="E177" s="3" t="s">
        <v>159</v>
      </c>
      <c r="F177" s="3" t="s">
        <v>160</v>
      </c>
      <c r="G177" s="3" t="s">
        <v>50</v>
      </c>
      <c r="H177" s="3" t="s">
        <v>28</v>
      </c>
      <c r="I177" s="3" t="s">
        <v>23</v>
      </c>
      <c r="J177" s="3">
        <v>18</v>
      </c>
      <c r="K177" s="3">
        <v>290</v>
      </c>
      <c r="L177" s="3">
        <v>5220</v>
      </c>
    </row>
    <row r="178" spans="1:12">
      <c r="A178" s="3" t="s">
        <v>143</v>
      </c>
      <c r="B178" s="25">
        <v>46210</v>
      </c>
      <c r="C178" s="3" t="s">
        <v>18</v>
      </c>
      <c r="D178" s="3" t="s">
        <v>95</v>
      </c>
      <c r="E178" s="3" t="s">
        <v>105</v>
      </c>
      <c r="F178" s="3" t="s">
        <v>106</v>
      </c>
      <c r="G178" s="3" t="s">
        <v>50</v>
      </c>
      <c r="H178" s="3" t="s">
        <v>15</v>
      </c>
      <c r="I178" s="3" t="s">
        <v>16</v>
      </c>
      <c r="J178" s="3">
        <v>12</v>
      </c>
      <c r="K178" s="3">
        <v>761</v>
      </c>
      <c r="L178" s="3">
        <v>9132</v>
      </c>
    </row>
    <row r="179" spans="1:12">
      <c r="A179" s="3" t="s">
        <v>143</v>
      </c>
      <c r="B179" s="25">
        <v>46210</v>
      </c>
      <c r="C179" s="3" t="s">
        <v>38</v>
      </c>
      <c r="D179" s="3" t="s">
        <v>139</v>
      </c>
      <c r="E179" s="3" t="s">
        <v>255</v>
      </c>
      <c r="F179" s="3" t="s">
        <v>27</v>
      </c>
      <c r="G179" s="3" t="s">
        <v>41</v>
      </c>
      <c r="H179" s="3" t="s">
        <v>15</v>
      </c>
      <c r="I179" s="3" t="s">
        <v>16</v>
      </c>
      <c r="J179" s="3">
        <v>18</v>
      </c>
      <c r="K179" s="3">
        <v>747</v>
      </c>
      <c r="L179" s="3">
        <v>13446</v>
      </c>
    </row>
    <row r="180" spans="1:12">
      <c r="A180" s="3" t="s">
        <v>158</v>
      </c>
      <c r="B180" s="25">
        <v>46210</v>
      </c>
      <c r="C180" s="3" t="s">
        <v>11</v>
      </c>
      <c r="D180" s="3" t="s">
        <v>120</v>
      </c>
      <c r="E180" s="3" t="s">
        <v>188</v>
      </c>
      <c r="F180" s="3" t="s">
        <v>152</v>
      </c>
      <c r="G180" s="3" t="s">
        <v>21</v>
      </c>
      <c r="H180" s="3" t="s">
        <v>22</v>
      </c>
      <c r="I180" s="3" t="s">
        <v>23</v>
      </c>
      <c r="J180" s="3">
        <v>14</v>
      </c>
      <c r="K180" s="3">
        <v>395</v>
      </c>
      <c r="L180" s="3">
        <v>5530</v>
      </c>
    </row>
    <row r="181" spans="1:12">
      <c r="A181" s="3" t="s">
        <v>158</v>
      </c>
      <c r="B181" s="25">
        <v>46210</v>
      </c>
      <c r="C181" s="3" t="s">
        <v>11</v>
      </c>
      <c r="D181" s="3" t="s">
        <v>120</v>
      </c>
      <c r="E181" s="3" t="s">
        <v>284</v>
      </c>
      <c r="F181" s="3" t="s">
        <v>66</v>
      </c>
      <c r="G181" s="3" t="s">
        <v>14</v>
      </c>
      <c r="H181" s="3" t="s">
        <v>58</v>
      </c>
      <c r="I181" s="3" t="s">
        <v>23</v>
      </c>
      <c r="J181" s="3">
        <v>12</v>
      </c>
      <c r="K181" s="3">
        <v>459</v>
      </c>
      <c r="L181" s="3">
        <v>5508</v>
      </c>
    </row>
    <row r="182" spans="1:12">
      <c r="A182" s="3" t="s">
        <v>116</v>
      </c>
      <c r="B182" s="25">
        <v>46211</v>
      </c>
      <c r="C182" s="3" t="s">
        <v>110</v>
      </c>
      <c r="D182" s="3" t="s">
        <v>95</v>
      </c>
      <c r="E182" s="3" t="s">
        <v>117</v>
      </c>
      <c r="F182" s="3" t="s">
        <v>118</v>
      </c>
      <c r="G182" s="3" t="s">
        <v>21</v>
      </c>
      <c r="H182" s="3" t="s">
        <v>22</v>
      </c>
      <c r="I182" s="3" t="s">
        <v>23</v>
      </c>
      <c r="J182" s="3">
        <v>18</v>
      </c>
      <c r="K182" s="3">
        <v>420</v>
      </c>
      <c r="L182" s="3">
        <v>7560</v>
      </c>
    </row>
    <row r="183" spans="1:12">
      <c r="A183" s="3" t="s">
        <v>124</v>
      </c>
      <c r="B183" s="25">
        <v>46211</v>
      </c>
      <c r="C183" s="3" t="s">
        <v>120</v>
      </c>
      <c r="D183" s="3" t="s">
        <v>120</v>
      </c>
      <c r="E183" s="3" t="s">
        <v>125</v>
      </c>
      <c r="F183" s="3" t="s">
        <v>112</v>
      </c>
      <c r="G183" s="3" t="s">
        <v>32</v>
      </c>
      <c r="H183" s="3" t="s">
        <v>28</v>
      </c>
      <c r="I183" s="3" t="s">
        <v>23</v>
      </c>
      <c r="J183" s="3">
        <v>4</v>
      </c>
      <c r="K183" s="3">
        <v>277</v>
      </c>
      <c r="L183" s="3">
        <v>1108</v>
      </c>
    </row>
    <row r="184" spans="1:12">
      <c r="A184" s="3" t="s">
        <v>191</v>
      </c>
      <c r="B184" s="25">
        <v>46211</v>
      </c>
      <c r="C184" s="3" t="s">
        <v>18</v>
      </c>
      <c r="D184" s="3" t="s">
        <v>95</v>
      </c>
      <c r="E184" s="3" t="s">
        <v>105</v>
      </c>
      <c r="F184" s="3" t="s">
        <v>106</v>
      </c>
      <c r="G184" s="3" t="s">
        <v>50</v>
      </c>
      <c r="H184" s="3" t="s">
        <v>58</v>
      </c>
      <c r="I184" s="3" t="s">
        <v>23</v>
      </c>
      <c r="J184" s="3">
        <v>5</v>
      </c>
      <c r="K184" s="3">
        <v>455</v>
      </c>
      <c r="L184" s="3">
        <v>2275</v>
      </c>
    </row>
    <row r="185" spans="1:12">
      <c r="A185" s="3" t="s">
        <v>124</v>
      </c>
      <c r="B185" s="25">
        <v>46211</v>
      </c>
      <c r="C185" s="3" t="s">
        <v>25</v>
      </c>
      <c r="D185" s="3" t="s">
        <v>25</v>
      </c>
      <c r="E185" s="3" t="s">
        <v>241</v>
      </c>
      <c r="F185" s="3" t="s">
        <v>242</v>
      </c>
      <c r="G185" s="3" t="s">
        <v>14</v>
      </c>
      <c r="H185" s="3" t="s">
        <v>42</v>
      </c>
      <c r="I185" s="3" t="s">
        <v>23</v>
      </c>
      <c r="J185" s="3">
        <v>21</v>
      </c>
      <c r="K185" s="3">
        <v>424</v>
      </c>
      <c r="L185" s="3">
        <v>8904</v>
      </c>
    </row>
    <row r="186" spans="1:12">
      <c r="A186" s="3" t="s">
        <v>116</v>
      </c>
      <c r="B186" s="25">
        <v>46211</v>
      </c>
      <c r="C186" s="3" t="s">
        <v>25</v>
      </c>
      <c r="D186" s="3" t="s">
        <v>25</v>
      </c>
      <c r="E186" s="3" t="s">
        <v>241</v>
      </c>
      <c r="F186" s="3" t="s">
        <v>242</v>
      </c>
      <c r="G186" s="3" t="s">
        <v>14</v>
      </c>
      <c r="H186" s="3" t="s">
        <v>28</v>
      </c>
      <c r="I186" s="3" t="s">
        <v>23</v>
      </c>
      <c r="J186" s="3">
        <v>14</v>
      </c>
      <c r="K186" s="3">
        <v>291</v>
      </c>
      <c r="L186" s="3">
        <v>4074</v>
      </c>
    </row>
    <row r="187" spans="1:12">
      <c r="A187" s="3" t="s">
        <v>116</v>
      </c>
      <c r="B187" s="25">
        <v>46211</v>
      </c>
      <c r="C187" s="3" t="s">
        <v>88</v>
      </c>
      <c r="D187" s="3" t="s">
        <v>25</v>
      </c>
      <c r="E187" s="3" t="s">
        <v>241</v>
      </c>
      <c r="F187" s="3" t="s">
        <v>242</v>
      </c>
      <c r="G187" s="3" t="s">
        <v>14</v>
      </c>
      <c r="H187" s="3" t="s">
        <v>15</v>
      </c>
      <c r="I187" s="3" t="s">
        <v>16</v>
      </c>
      <c r="J187" s="3">
        <v>5</v>
      </c>
      <c r="K187" s="3">
        <v>735</v>
      </c>
      <c r="L187" s="3">
        <v>3675</v>
      </c>
    </row>
    <row r="188" spans="1:12">
      <c r="A188" s="3" t="s">
        <v>153</v>
      </c>
      <c r="B188" s="25">
        <v>46212</v>
      </c>
      <c r="C188" s="3" t="s">
        <v>110</v>
      </c>
      <c r="D188" s="3" t="s">
        <v>95</v>
      </c>
      <c r="E188" s="3" t="s">
        <v>154</v>
      </c>
      <c r="F188" s="3" t="s">
        <v>71</v>
      </c>
      <c r="G188" s="3" t="s">
        <v>50</v>
      </c>
      <c r="H188" s="3" t="s">
        <v>58</v>
      </c>
      <c r="I188" s="3" t="s">
        <v>23</v>
      </c>
      <c r="J188" s="3">
        <v>25</v>
      </c>
      <c r="K188" s="3">
        <v>460</v>
      </c>
      <c r="L188" s="3">
        <v>11500</v>
      </c>
    </row>
    <row r="189" spans="1:12">
      <c r="A189" s="3" t="s">
        <v>153</v>
      </c>
      <c r="B189" s="25">
        <v>46212</v>
      </c>
      <c r="C189" s="3" t="s">
        <v>25</v>
      </c>
      <c r="D189" s="3" t="s">
        <v>25</v>
      </c>
      <c r="E189" s="3" t="s">
        <v>76</v>
      </c>
      <c r="F189" s="3" t="s">
        <v>77</v>
      </c>
      <c r="G189" s="3" t="s">
        <v>41</v>
      </c>
      <c r="H189" s="3" t="s">
        <v>28</v>
      </c>
      <c r="I189" s="3" t="s">
        <v>23</v>
      </c>
      <c r="J189" s="3">
        <v>22</v>
      </c>
      <c r="K189" s="3">
        <v>289</v>
      </c>
      <c r="L189" s="3">
        <v>6358</v>
      </c>
    </row>
    <row r="190" spans="1:12">
      <c r="A190" s="3" t="s">
        <v>287</v>
      </c>
      <c r="B190" s="25">
        <v>46212</v>
      </c>
      <c r="C190" s="3" t="s">
        <v>44</v>
      </c>
      <c r="D190" s="3" t="s">
        <v>44</v>
      </c>
      <c r="E190" s="3" t="s">
        <v>288</v>
      </c>
      <c r="F190" s="3" t="s">
        <v>164</v>
      </c>
      <c r="G190" s="3" t="s">
        <v>21</v>
      </c>
      <c r="H190" s="3" t="s">
        <v>58</v>
      </c>
      <c r="I190" s="3" t="s">
        <v>23</v>
      </c>
      <c r="J190" s="3">
        <v>10</v>
      </c>
      <c r="K190" s="3">
        <v>460</v>
      </c>
      <c r="L190" s="3">
        <v>4600</v>
      </c>
    </row>
    <row r="191" spans="1:12">
      <c r="A191" s="3" t="s">
        <v>153</v>
      </c>
      <c r="B191" s="25">
        <v>46212</v>
      </c>
      <c r="C191" s="3" t="s">
        <v>139</v>
      </c>
      <c r="D191" s="3" t="s">
        <v>139</v>
      </c>
      <c r="E191" s="3" t="s">
        <v>255</v>
      </c>
      <c r="F191" s="3" t="s">
        <v>27</v>
      </c>
      <c r="G191" s="3" t="s">
        <v>41</v>
      </c>
      <c r="H191" s="3" t="s">
        <v>15</v>
      </c>
      <c r="I191" s="3" t="s">
        <v>16</v>
      </c>
      <c r="J191" s="3">
        <v>22</v>
      </c>
      <c r="K191" s="3">
        <v>739</v>
      </c>
      <c r="L191" s="3">
        <v>16258</v>
      </c>
    </row>
    <row r="192" spans="1:12">
      <c r="A192" s="3" t="s">
        <v>328</v>
      </c>
      <c r="B192" s="25">
        <v>46212</v>
      </c>
      <c r="C192" s="3" t="s">
        <v>52</v>
      </c>
      <c r="D192" s="3" t="s">
        <v>25</v>
      </c>
      <c r="E192" s="3" t="s">
        <v>168</v>
      </c>
      <c r="F192" s="3" t="s">
        <v>115</v>
      </c>
      <c r="G192" s="3" t="s">
        <v>41</v>
      </c>
      <c r="H192" s="3" t="s">
        <v>33</v>
      </c>
      <c r="I192" s="3" t="s">
        <v>23</v>
      </c>
      <c r="J192" s="3">
        <v>25</v>
      </c>
      <c r="K192" s="3">
        <v>389</v>
      </c>
      <c r="L192" s="3">
        <v>9725</v>
      </c>
    </row>
    <row r="193" spans="1:12">
      <c r="A193" s="3" t="s">
        <v>119</v>
      </c>
      <c r="B193" s="25">
        <v>46213</v>
      </c>
      <c r="C193" s="3" t="s">
        <v>120</v>
      </c>
      <c r="D193" s="3" t="s">
        <v>120</v>
      </c>
      <c r="E193" s="3" t="s">
        <v>121</v>
      </c>
      <c r="F193" s="3" t="s">
        <v>63</v>
      </c>
      <c r="G193" s="3" t="s">
        <v>14</v>
      </c>
      <c r="H193" s="3" t="s">
        <v>15</v>
      </c>
      <c r="I193" s="3" t="s">
        <v>16</v>
      </c>
      <c r="J193" s="3">
        <v>16</v>
      </c>
      <c r="K193" s="3">
        <v>739</v>
      </c>
      <c r="L193" s="3">
        <v>11824</v>
      </c>
    </row>
    <row r="194" spans="1:12">
      <c r="A194" s="3" t="s">
        <v>141</v>
      </c>
      <c r="B194" s="25">
        <v>46213</v>
      </c>
      <c r="C194" s="3" t="s">
        <v>88</v>
      </c>
      <c r="D194" s="3" t="s">
        <v>25</v>
      </c>
      <c r="E194" s="3" t="s">
        <v>142</v>
      </c>
      <c r="F194" s="3" t="s">
        <v>137</v>
      </c>
      <c r="G194" s="3" t="s">
        <v>41</v>
      </c>
      <c r="H194" s="3" t="s">
        <v>42</v>
      </c>
      <c r="I194" s="3" t="s">
        <v>23</v>
      </c>
      <c r="J194" s="3">
        <v>23</v>
      </c>
      <c r="K194" s="3">
        <v>434</v>
      </c>
      <c r="L194" s="3">
        <v>9982</v>
      </c>
    </row>
    <row r="195" spans="1:12">
      <c r="A195" s="3" t="s">
        <v>167</v>
      </c>
      <c r="B195" s="25">
        <v>46213</v>
      </c>
      <c r="C195" s="3" t="s">
        <v>25</v>
      </c>
      <c r="D195" s="3" t="s">
        <v>25</v>
      </c>
      <c r="E195" s="3" t="s">
        <v>168</v>
      </c>
      <c r="F195" s="3" t="s">
        <v>115</v>
      </c>
      <c r="G195" s="3" t="s">
        <v>41</v>
      </c>
      <c r="H195" s="3" t="s">
        <v>42</v>
      </c>
      <c r="I195" s="3" t="s">
        <v>23</v>
      </c>
      <c r="J195" s="3">
        <v>2</v>
      </c>
      <c r="K195" s="3">
        <v>438</v>
      </c>
      <c r="L195" s="3">
        <v>876</v>
      </c>
    </row>
    <row r="196" spans="1:12">
      <c r="A196" s="3" t="s">
        <v>141</v>
      </c>
      <c r="B196" s="25">
        <v>46213</v>
      </c>
      <c r="C196" s="3" t="s">
        <v>95</v>
      </c>
      <c r="D196" s="3" t="s">
        <v>95</v>
      </c>
      <c r="E196" s="3" t="s">
        <v>228</v>
      </c>
      <c r="F196" s="3" t="s">
        <v>164</v>
      </c>
      <c r="G196" s="3" t="s">
        <v>41</v>
      </c>
      <c r="H196" s="3" t="s">
        <v>15</v>
      </c>
      <c r="I196" s="3" t="s">
        <v>16</v>
      </c>
      <c r="J196" s="3">
        <v>4</v>
      </c>
      <c r="K196" s="3">
        <v>741</v>
      </c>
      <c r="L196" s="3">
        <v>2964</v>
      </c>
    </row>
    <row r="197" spans="1:12">
      <c r="A197" s="3" t="s">
        <v>141</v>
      </c>
      <c r="B197" s="25">
        <v>46213</v>
      </c>
      <c r="C197" s="3" t="s">
        <v>11</v>
      </c>
      <c r="D197" s="3" t="s">
        <v>120</v>
      </c>
      <c r="E197" s="3" t="s">
        <v>56</v>
      </c>
      <c r="F197" s="3" t="s">
        <v>57</v>
      </c>
      <c r="G197" s="3" t="s">
        <v>32</v>
      </c>
      <c r="H197" s="3" t="s">
        <v>15</v>
      </c>
      <c r="I197" s="3" t="s">
        <v>16</v>
      </c>
      <c r="J197" s="3">
        <v>4</v>
      </c>
      <c r="K197" s="3">
        <v>756</v>
      </c>
      <c r="L197" s="3">
        <v>3024</v>
      </c>
    </row>
    <row r="198" spans="1:12">
      <c r="A198" s="3" t="s">
        <v>167</v>
      </c>
      <c r="B198" s="25">
        <v>46213</v>
      </c>
      <c r="C198" s="3" t="s">
        <v>139</v>
      </c>
      <c r="D198" s="3" t="s">
        <v>139</v>
      </c>
      <c r="E198" s="3" t="s">
        <v>240</v>
      </c>
      <c r="F198" s="3" t="s">
        <v>239</v>
      </c>
      <c r="G198" s="3" t="s">
        <v>21</v>
      </c>
      <c r="H198" s="3" t="s">
        <v>15</v>
      </c>
      <c r="I198" s="3" t="s">
        <v>16</v>
      </c>
      <c r="J198" s="3">
        <v>10</v>
      </c>
      <c r="K198" s="3">
        <v>757</v>
      </c>
      <c r="L198" s="3">
        <v>7570</v>
      </c>
    </row>
    <row r="199" spans="1:12">
      <c r="A199" s="3" t="s">
        <v>167</v>
      </c>
      <c r="B199" s="25">
        <v>46213</v>
      </c>
      <c r="C199" s="3" t="s">
        <v>88</v>
      </c>
      <c r="D199" s="3" t="s">
        <v>25</v>
      </c>
      <c r="E199" s="3" t="s">
        <v>82</v>
      </c>
      <c r="F199" s="3" t="s">
        <v>83</v>
      </c>
      <c r="G199" s="3" t="s">
        <v>41</v>
      </c>
      <c r="H199" s="3" t="s">
        <v>42</v>
      </c>
      <c r="I199" s="3" t="s">
        <v>23</v>
      </c>
      <c r="J199" s="3">
        <v>17</v>
      </c>
      <c r="K199" s="3">
        <v>436</v>
      </c>
      <c r="L199" s="3">
        <v>7412</v>
      </c>
    </row>
    <row r="200" spans="1:12">
      <c r="A200" s="3" t="s">
        <v>119</v>
      </c>
      <c r="B200" s="25">
        <v>46213</v>
      </c>
      <c r="C200" s="3" t="s">
        <v>18</v>
      </c>
      <c r="D200" s="3" t="s">
        <v>95</v>
      </c>
      <c r="E200" s="3" t="s">
        <v>19</v>
      </c>
      <c r="F200" s="3" t="s">
        <v>20</v>
      </c>
      <c r="G200" s="3" t="s">
        <v>21</v>
      </c>
      <c r="H200" s="3" t="s">
        <v>28</v>
      </c>
      <c r="I200" s="3" t="s">
        <v>23</v>
      </c>
      <c r="J200" s="3">
        <v>11</v>
      </c>
      <c r="K200" s="3">
        <v>288</v>
      </c>
      <c r="L200" s="3">
        <v>3168</v>
      </c>
    </row>
    <row r="201" spans="1:12">
      <c r="A201" s="3" t="s">
        <v>119</v>
      </c>
      <c r="B201" s="25">
        <v>46213</v>
      </c>
      <c r="C201" s="3" t="s">
        <v>88</v>
      </c>
      <c r="D201" s="3" t="s">
        <v>25</v>
      </c>
      <c r="E201" s="3" t="s">
        <v>301</v>
      </c>
      <c r="F201" s="3" t="s">
        <v>103</v>
      </c>
      <c r="G201" s="3" t="s">
        <v>14</v>
      </c>
      <c r="H201" s="3" t="s">
        <v>28</v>
      </c>
      <c r="I201" s="3" t="s">
        <v>23</v>
      </c>
      <c r="J201" s="3">
        <v>23</v>
      </c>
      <c r="K201" s="3">
        <v>274</v>
      </c>
      <c r="L201" s="3">
        <v>6302</v>
      </c>
    </row>
    <row r="202" spans="1:12">
      <c r="A202" s="3" t="s">
        <v>104</v>
      </c>
      <c r="B202" s="25">
        <v>46214</v>
      </c>
      <c r="C202" s="3" t="s">
        <v>18</v>
      </c>
      <c r="D202" s="3" t="s">
        <v>95</v>
      </c>
      <c r="E202" s="3" t="s">
        <v>105</v>
      </c>
      <c r="F202" s="3" t="s">
        <v>106</v>
      </c>
      <c r="G202" s="3" t="s">
        <v>50</v>
      </c>
      <c r="H202" s="3" t="s">
        <v>58</v>
      </c>
      <c r="I202" s="3" t="s">
        <v>23</v>
      </c>
      <c r="J202" s="3">
        <v>3</v>
      </c>
      <c r="K202" s="3">
        <v>453</v>
      </c>
      <c r="L202" s="3">
        <v>1359</v>
      </c>
    </row>
    <row r="203" spans="1:12">
      <c r="A203" s="3" t="s">
        <v>184</v>
      </c>
      <c r="B203" s="25">
        <v>46214</v>
      </c>
      <c r="C203" s="3" t="s">
        <v>120</v>
      </c>
      <c r="D203" s="3" t="s">
        <v>120</v>
      </c>
      <c r="E203" s="3" t="s">
        <v>185</v>
      </c>
      <c r="F203" s="3" t="s">
        <v>36</v>
      </c>
      <c r="G203" s="3" t="s">
        <v>50</v>
      </c>
      <c r="H203" s="3" t="s">
        <v>33</v>
      </c>
      <c r="I203" s="3" t="s">
        <v>23</v>
      </c>
      <c r="J203" s="3">
        <v>9</v>
      </c>
      <c r="K203" s="3">
        <v>383</v>
      </c>
      <c r="L203" s="3">
        <v>3447</v>
      </c>
    </row>
    <row r="204" spans="1:12">
      <c r="A204" s="3" t="s">
        <v>104</v>
      </c>
      <c r="B204" s="25">
        <v>46214</v>
      </c>
      <c r="C204" s="3" t="s">
        <v>52</v>
      </c>
      <c r="D204" s="3" t="s">
        <v>25</v>
      </c>
      <c r="E204" s="3" t="s">
        <v>76</v>
      </c>
      <c r="F204" s="3" t="s">
        <v>77</v>
      </c>
      <c r="G204" s="3" t="s">
        <v>41</v>
      </c>
      <c r="H204" s="3" t="s">
        <v>22</v>
      </c>
      <c r="I204" s="3" t="s">
        <v>23</v>
      </c>
      <c r="J204" s="3">
        <v>11</v>
      </c>
      <c r="K204" s="3">
        <v>416</v>
      </c>
      <c r="L204" s="3">
        <v>4576</v>
      </c>
    </row>
    <row r="205" spans="1:12">
      <c r="A205" s="3" t="s">
        <v>184</v>
      </c>
      <c r="B205" s="25">
        <v>46214</v>
      </c>
      <c r="C205" s="3" t="s">
        <v>108</v>
      </c>
      <c r="D205" s="3" t="s">
        <v>44</v>
      </c>
      <c r="E205" s="3" t="s">
        <v>31</v>
      </c>
      <c r="F205" s="3" t="s">
        <v>20</v>
      </c>
      <c r="G205" s="3" t="s">
        <v>32</v>
      </c>
      <c r="H205" s="3" t="s">
        <v>42</v>
      </c>
      <c r="I205" s="3" t="s">
        <v>23</v>
      </c>
      <c r="J205" s="3">
        <v>5</v>
      </c>
      <c r="K205" s="3">
        <v>418</v>
      </c>
      <c r="L205" s="3">
        <v>2090</v>
      </c>
    </row>
    <row r="206" spans="1:12">
      <c r="A206" s="3" t="s">
        <v>184</v>
      </c>
      <c r="B206" s="25">
        <v>46214</v>
      </c>
      <c r="C206" s="3" t="s">
        <v>38</v>
      </c>
      <c r="D206" s="3" t="s">
        <v>139</v>
      </c>
      <c r="E206" s="3" t="s">
        <v>114</v>
      </c>
      <c r="F206" s="3" t="s">
        <v>115</v>
      </c>
      <c r="G206" s="3" t="s">
        <v>41</v>
      </c>
      <c r="H206" s="3" t="s">
        <v>15</v>
      </c>
      <c r="I206" s="3" t="s">
        <v>16</v>
      </c>
      <c r="J206" s="3">
        <v>12</v>
      </c>
      <c r="K206" s="3">
        <v>762</v>
      </c>
      <c r="L206" s="3">
        <v>9144</v>
      </c>
    </row>
    <row r="207" spans="1:12">
      <c r="A207" s="3" t="s">
        <v>184</v>
      </c>
      <c r="B207" s="25">
        <v>46214</v>
      </c>
      <c r="C207" s="3" t="s">
        <v>18</v>
      </c>
      <c r="D207" s="3" t="s">
        <v>95</v>
      </c>
      <c r="E207" s="3" t="s">
        <v>217</v>
      </c>
      <c r="F207" s="3" t="s">
        <v>93</v>
      </c>
      <c r="G207" s="3" t="s">
        <v>14</v>
      </c>
      <c r="H207" s="3" t="s">
        <v>33</v>
      </c>
      <c r="I207" s="3" t="s">
        <v>23</v>
      </c>
      <c r="J207" s="3">
        <v>9</v>
      </c>
      <c r="K207" s="3">
        <v>384</v>
      </c>
      <c r="L207" s="3">
        <v>3456</v>
      </c>
    </row>
    <row r="208" spans="1:12">
      <c r="A208" s="3" t="s">
        <v>184</v>
      </c>
      <c r="B208" s="25">
        <v>46214</v>
      </c>
      <c r="C208" s="3" t="s">
        <v>11</v>
      </c>
      <c r="D208" s="3" t="s">
        <v>120</v>
      </c>
      <c r="E208" s="3" t="s">
        <v>125</v>
      </c>
      <c r="F208" s="3" t="s">
        <v>112</v>
      </c>
      <c r="G208" s="3" t="s">
        <v>32</v>
      </c>
      <c r="H208" s="3" t="s">
        <v>58</v>
      </c>
      <c r="I208" s="3" t="s">
        <v>23</v>
      </c>
      <c r="J208" s="3">
        <v>5</v>
      </c>
      <c r="K208" s="3">
        <v>472</v>
      </c>
      <c r="L208" s="3">
        <v>2360</v>
      </c>
    </row>
    <row r="209" spans="1:12">
      <c r="A209" s="3" t="s">
        <v>254</v>
      </c>
      <c r="B209" s="25">
        <v>46215</v>
      </c>
      <c r="C209" s="3" t="s">
        <v>139</v>
      </c>
      <c r="D209" s="3" t="s">
        <v>139</v>
      </c>
      <c r="E209" s="3" t="s">
        <v>255</v>
      </c>
      <c r="F209" s="3" t="s">
        <v>27</v>
      </c>
      <c r="G209" s="3" t="s">
        <v>41</v>
      </c>
      <c r="H209" s="3" t="s">
        <v>33</v>
      </c>
      <c r="I209" s="3" t="s">
        <v>23</v>
      </c>
      <c r="J209" s="3">
        <v>18</v>
      </c>
      <c r="K209" s="3">
        <v>404</v>
      </c>
      <c r="L209" s="3">
        <v>7272</v>
      </c>
    </row>
    <row r="210" spans="1:12">
      <c r="A210" s="3" t="s">
        <v>268</v>
      </c>
      <c r="B210" s="25">
        <v>46215</v>
      </c>
      <c r="C210" s="3" t="s">
        <v>25</v>
      </c>
      <c r="D210" s="3" t="s">
        <v>25</v>
      </c>
      <c r="E210" s="3" t="s">
        <v>82</v>
      </c>
      <c r="F210" s="3" t="s">
        <v>83</v>
      </c>
      <c r="G210" s="3" t="s">
        <v>41</v>
      </c>
      <c r="H210" s="3" t="s">
        <v>15</v>
      </c>
      <c r="I210" s="3" t="s">
        <v>16</v>
      </c>
      <c r="J210" s="3">
        <v>12</v>
      </c>
      <c r="K210" s="3">
        <v>765</v>
      </c>
      <c r="L210" s="3">
        <v>9180</v>
      </c>
    </row>
    <row r="211" spans="1:12">
      <c r="A211" s="3" t="s">
        <v>285</v>
      </c>
      <c r="B211" s="25">
        <v>46215</v>
      </c>
      <c r="C211" s="3" t="s">
        <v>11</v>
      </c>
      <c r="D211" s="3" t="s">
        <v>120</v>
      </c>
      <c r="E211" s="3" t="s">
        <v>121</v>
      </c>
      <c r="F211" s="3" t="s">
        <v>63</v>
      </c>
      <c r="G211" s="3" t="s">
        <v>14</v>
      </c>
      <c r="H211" s="3" t="s">
        <v>22</v>
      </c>
      <c r="I211" s="3" t="s">
        <v>23</v>
      </c>
      <c r="J211" s="3">
        <v>3</v>
      </c>
      <c r="K211" s="3">
        <v>404</v>
      </c>
      <c r="L211" s="3">
        <v>1212</v>
      </c>
    </row>
    <row r="212" spans="1:12">
      <c r="A212" s="3" t="s">
        <v>254</v>
      </c>
      <c r="B212" s="25">
        <v>46215</v>
      </c>
      <c r="C212" s="3" t="s">
        <v>11</v>
      </c>
      <c r="D212" s="3" t="s">
        <v>120</v>
      </c>
      <c r="E212" s="3" t="s">
        <v>185</v>
      </c>
      <c r="F212" s="3" t="s">
        <v>36</v>
      </c>
      <c r="G212" s="3" t="s">
        <v>50</v>
      </c>
      <c r="H212" s="3" t="s">
        <v>28</v>
      </c>
      <c r="I212" s="3" t="s">
        <v>23</v>
      </c>
      <c r="J212" s="3">
        <v>25</v>
      </c>
      <c r="K212" s="3">
        <v>274</v>
      </c>
      <c r="L212" s="3">
        <v>6850</v>
      </c>
    </row>
    <row r="213" spans="1:12">
      <c r="A213" s="3" t="s">
        <v>268</v>
      </c>
      <c r="B213" s="25">
        <v>46215</v>
      </c>
      <c r="C213" s="3" t="s">
        <v>88</v>
      </c>
      <c r="D213" s="3" t="s">
        <v>25</v>
      </c>
      <c r="E213" s="3" t="s">
        <v>102</v>
      </c>
      <c r="F213" s="3" t="s">
        <v>103</v>
      </c>
      <c r="G213" s="3" t="s">
        <v>14</v>
      </c>
      <c r="H213" s="3" t="s">
        <v>42</v>
      </c>
      <c r="I213" s="3" t="s">
        <v>23</v>
      </c>
      <c r="J213" s="3">
        <v>24</v>
      </c>
      <c r="K213" s="3">
        <v>413</v>
      </c>
      <c r="L213" s="3">
        <v>9912</v>
      </c>
    </row>
    <row r="214" spans="1:12">
      <c r="A214" s="3" t="s">
        <v>285</v>
      </c>
      <c r="B214" s="25">
        <v>46215</v>
      </c>
      <c r="C214" s="3" t="s">
        <v>30</v>
      </c>
      <c r="D214" s="3" t="s">
        <v>44</v>
      </c>
      <c r="E214" s="3" t="s">
        <v>147</v>
      </c>
      <c r="F214" s="3" t="s">
        <v>49</v>
      </c>
      <c r="G214" s="3" t="s">
        <v>21</v>
      </c>
      <c r="H214" s="3" t="s">
        <v>33</v>
      </c>
      <c r="I214" s="3" t="s">
        <v>23</v>
      </c>
      <c r="J214" s="3">
        <v>24</v>
      </c>
      <c r="K214" s="3">
        <v>397</v>
      </c>
      <c r="L214" s="3">
        <v>9528</v>
      </c>
    </row>
    <row r="215" spans="1:12">
      <c r="A215" s="3" t="s">
        <v>161</v>
      </c>
      <c r="B215" s="25">
        <v>46216</v>
      </c>
      <c r="C215" s="3" t="s">
        <v>95</v>
      </c>
      <c r="D215" s="3" t="s">
        <v>95</v>
      </c>
      <c r="E215" s="3" t="s">
        <v>19</v>
      </c>
      <c r="F215" s="3" t="s">
        <v>20</v>
      </c>
      <c r="G215" s="3" t="s">
        <v>21</v>
      </c>
      <c r="H215" s="3" t="s">
        <v>22</v>
      </c>
      <c r="I215" s="3" t="s">
        <v>23</v>
      </c>
      <c r="J215" s="3">
        <v>5</v>
      </c>
      <c r="K215" s="3">
        <v>395</v>
      </c>
      <c r="L215" s="3">
        <v>1975</v>
      </c>
    </row>
    <row r="216" spans="1:12">
      <c r="A216" s="3" t="s">
        <v>279</v>
      </c>
      <c r="B216" s="25">
        <v>46216</v>
      </c>
      <c r="C216" s="3" t="s">
        <v>120</v>
      </c>
      <c r="D216" s="3" t="s">
        <v>120</v>
      </c>
      <c r="E216" s="3" t="s">
        <v>188</v>
      </c>
      <c r="F216" s="3" t="s">
        <v>152</v>
      </c>
      <c r="G216" s="3" t="s">
        <v>21</v>
      </c>
      <c r="H216" s="3" t="s">
        <v>22</v>
      </c>
      <c r="I216" s="3" t="s">
        <v>23</v>
      </c>
      <c r="J216" s="3">
        <v>15</v>
      </c>
      <c r="K216" s="3">
        <v>396</v>
      </c>
      <c r="L216" s="3">
        <v>5940</v>
      </c>
    </row>
    <row r="217" spans="1:12">
      <c r="A217" s="3" t="s">
        <v>252</v>
      </c>
      <c r="B217" s="25">
        <v>46217</v>
      </c>
      <c r="C217" s="3" t="s">
        <v>139</v>
      </c>
      <c r="D217" s="3" t="s">
        <v>139</v>
      </c>
      <c r="E217" s="3" t="s">
        <v>253</v>
      </c>
      <c r="F217" s="3" t="s">
        <v>239</v>
      </c>
      <c r="G217" s="3" t="s">
        <v>21</v>
      </c>
      <c r="H217" s="3" t="s">
        <v>42</v>
      </c>
      <c r="I217" s="3" t="s">
        <v>23</v>
      </c>
      <c r="J217" s="3">
        <v>23</v>
      </c>
      <c r="K217" s="3">
        <v>431</v>
      </c>
      <c r="L217" s="3">
        <v>9913</v>
      </c>
    </row>
    <row r="218" spans="1:12">
      <c r="A218" s="3" t="s">
        <v>259</v>
      </c>
      <c r="B218" s="25">
        <v>46217</v>
      </c>
      <c r="C218" s="3" t="s">
        <v>25</v>
      </c>
      <c r="D218" s="3" t="s">
        <v>25</v>
      </c>
      <c r="E218" s="3" t="s">
        <v>241</v>
      </c>
      <c r="F218" s="3" t="s">
        <v>242</v>
      </c>
      <c r="G218" s="3" t="s">
        <v>14</v>
      </c>
      <c r="H218" s="3" t="s">
        <v>15</v>
      </c>
      <c r="I218" s="3" t="s">
        <v>16</v>
      </c>
      <c r="J218" s="3">
        <v>25</v>
      </c>
      <c r="K218" s="3">
        <v>744</v>
      </c>
      <c r="L218" s="3">
        <v>18600</v>
      </c>
    </row>
    <row r="219" spans="1:12">
      <c r="A219" s="3" t="s">
        <v>252</v>
      </c>
      <c r="B219" s="25">
        <v>46217</v>
      </c>
      <c r="C219" s="3" t="s">
        <v>120</v>
      </c>
      <c r="D219" s="3" t="s">
        <v>120</v>
      </c>
      <c r="E219" s="3" t="s">
        <v>149</v>
      </c>
      <c r="F219" s="3" t="s">
        <v>115</v>
      </c>
      <c r="G219" s="3" t="s">
        <v>50</v>
      </c>
      <c r="H219" s="3" t="s">
        <v>15</v>
      </c>
      <c r="I219" s="3" t="s">
        <v>16</v>
      </c>
      <c r="J219" s="3">
        <v>19</v>
      </c>
      <c r="K219" s="3">
        <v>745</v>
      </c>
      <c r="L219" s="3">
        <v>14155</v>
      </c>
    </row>
    <row r="220" spans="1:12">
      <c r="A220" s="3" t="s">
        <v>252</v>
      </c>
      <c r="B220" s="25">
        <v>46217</v>
      </c>
      <c r="C220" s="3" t="s">
        <v>120</v>
      </c>
      <c r="D220" s="3" t="s">
        <v>120</v>
      </c>
      <c r="E220" s="3" t="s">
        <v>92</v>
      </c>
      <c r="F220" s="3" t="s">
        <v>93</v>
      </c>
      <c r="G220" s="3" t="s">
        <v>14</v>
      </c>
      <c r="H220" s="3" t="s">
        <v>15</v>
      </c>
      <c r="I220" s="3" t="s">
        <v>16</v>
      </c>
      <c r="J220" s="3">
        <v>21</v>
      </c>
      <c r="K220" s="3">
        <v>765</v>
      </c>
      <c r="L220" s="3">
        <v>16065</v>
      </c>
    </row>
    <row r="221" spans="1:12">
      <c r="A221" s="3" t="s">
        <v>259</v>
      </c>
      <c r="B221" s="25">
        <v>46217</v>
      </c>
      <c r="C221" s="3" t="s">
        <v>11</v>
      </c>
      <c r="D221" s="3" t="s">
        <v>120</v>
      </c>
      <c r="E221" s="3" t="s">
        <v>308</v>
      </c>
      <c r="F221" s="3" t="s">
        <v>128</v>
      </c>
      <c r="G221" s="3" t="s">
        <v>14</v>
      </c>
      <c r="H221" s="3" t="s">
        <v>42</v>
      </c>
      <c r="I221" s="3" t="s">
        <v>23</v>
      </c>
      <c r="J221" s="3">
        <v>9</v>
      </c>
      <c r="K221" s="3">
        <v>434</v>
      </c>
      <c r="L221" s="3">
        <v>3906</v>
      </c>
    </row>
    <row r="222" spans="1:12">
      <c r="A222" s="3" t="s">
        <v>259</v>
      </c>
      <c r="B222" s="25">
        <v>46217</v>
      </c>
      <c r="C222" s="3" t="s">
        <v>18</v>
      </c>
      <c r="D222" s="3" t="s">
        <v>95</v>
      </c>
      <c r="E222" s="3" t="s">
        <v>134</v>
      </c>
      <c r="F222" s="3" t="s">
        <v>106</v>
      </c>
      <c r="G222" s="3" t="s">
        <v>41</v>
      </c>
      <c r="H222" s="3" t="s">
        <v>42</v>
      </c>
      <c r="I222" s="3" t="s">
        <v>23</v>
      </c>
      <c r="J222" s="3">
        <v>8</v>
      </c>
      <c r="K222" s="3">
        <v>422</v>
      </c>
      <c r="L222" s="3">
        <v>3376</v>
      </c>
    </row>
    <row r="223" spans="1:12">
      <c r="A223" s="3" t="s">
        <v>218</v>
      </c>
      <c r="B223" s="25">
        <v>46218</v>
      </c>
      <c r="C223" s="3" t="s">
        <v>108</v>
      </c>
      <c r="D223" s="3" t="s">
        <v>44</v>
      </c>
      <c r="E223" s="3" t="s">
        <v>147</v>
      </c>
      <c r="F223" s="3" t="s">
        <v>49</v>
      </c>
      <c r="G223" s="3" t="s">
        <v>21</v>
      </c>
      <c r="H223" s="3" t="s">
        <v>33</v>
      </c>
      <c r="I223" s="3" t="s">
        <v>23</v>
      </c>
      <c r="J223" s="3">
        <v>12</v>
      </c>
      <c r="K223" s="3">
        <v>401</v>
      </c>
      <c r="L223" s="3">
        <v>4812</v>
      </c>
    </row>
    <row r="224" spans="1:12">
      <c r="A224" s="3" t="s">
        <v>237</v>
      </c>
      <c r="B224" s="25">
        <v>46218</v>
      </c>
      <c r="C224" s="3" t="s">
        <v>52</v>
      </c>
      <c r="D224" s="3" t="s">
        <v>25</v>
      </c>
      <c r="E224" s="3" t="s">
        <v>238</v>
      </c>
      <c r="F224" s="3" t="s">
        <v>239</v>
      </c>
      <c r="G224" s="3" t="s">
        <v>14</v>
      </c>
      <c r="H224" s="3" t="s">
        <v>33</v>
      </c>
      <c r="I224" s="3" t="s">
        <v>23</v>
      </c>
      <c r="J224" s="3">
        <v>25</v>
      </c>
      <c r="K224" s="3">
        <v>396</v>
      </c>
      <c r="L224" s="3">
        <v>9900</v>
      </c>
    </row>
    <row r="225" spans="1:12">
      <c r="A225" s="3" t="s">
        <v>218</v>
      </c>
      <c r="B225" s="25">
        <v>46218</v>
      </c>
      <c r="C225" s="3" t="s">
        <v>110</v>
      </c>
      <c r="D225" s="3" t="s">
        <v>95</v>
      </c>
      <c r="E225" s="3" t="s">
        <v>134</v>
      </c>
      <c r="F225" s="3" t="s">
        <v>106</v>
      </c>
      <c r="G225" s="3" t="s">
        <v>41</v>
      </c>
      <c r="H225" s="3" t="s">
        <v>42</v>
      </c>
      <c r="I225" s="3" t="s">
        <v>23</v>
      </c>
      <c r="J225" s="3">
        <v>11</v>
      </c>
      <c r="K225" s="3">
        <v>428</v>
      </c>
      <c r="L225" s="3">
        <v>4708</v>
      </c>
    </row>
    <row r="226" spans="1:12">
      <c r="A226" s="3" t="s">
        <v>218</v>
      </c>
      <c r="B226" s="25">
        <v>46218</v>
      </c>
      <c r="C226" s="3" t="s">
        <v>110</v>
      </c>
      <c r="D226" s="3" t="s">
        <v>95</v>
      </c>
      <c r="E226" s="3" t="s">
        <v>220</v>
      </c>
      <c r="F226" s="3" t="s">
        <v>221</v>
      </c>
      <c r="G226" s="3" t="s">
        <v>21</v>
      </c>
      <c r="H226" s="3" t="s">
        <v>58</v>
      </c>
      <c r="I226" s="3" t="s">
        <v>23</v>
      </c>
      <c r="J226" s="3">
        <v>16</v>
      </c>
      <c r="K226" s="3">
        <v>459</v>
      </c>
      <c r="L226" s="3">
        <v>7344</v>
      </c>
    </row>
    <row r="227" spans="1:12">
      <c r="A227" s="3" t="s">
        <v>318</v>
      </c>
      <c r="B227" s="25">
        <v>46218</v>
      </c>
      <c r="C227" s="3" t="s">
        <v>120</v>
      </c>
      <c r="D227" s="3" t="s">
        <v>120</v>
      </c>
      <c r="E227" s="3" t="s">
        <v>149</v>
      </c>
      <c r="F227" s="3" t="s">
        <v>115</v>
      </c>
      <c r="G227" s="3" t="s">
        <v>50</v>
      </c>
      <c r="H227" s="3" t="s">
        <v>33</v>
      </c>
      <c r="I227" s="3" t="s">
        <v>23</v>
      </c>
      <c r="J227" s="3">
        <v>17</v>
      </c>
      <c r="K227" s="3">
        <v>408</v>
      </c>
      <c r="L227" s="3">
        <v>6936</v>
      </c>
    </row>
    <row r="228" spans="1:12">
      <c r="A228" s="3" t="s">
        <v>318</v>
      </c>
      <c r="B228" s="25">
        <v>46218</v>
      </c>
      <c r="C228" s="3" t="s">
        <v>52</v>
      </c>
      <c r="D228" s="3" t="s">
        <v>25</v>
      </c>
      <c r="E228" s="3" t="s">
        <v>142</v>
      </c>
      <c r="F228" s="3" t="s">
        <v>137</v>
      </c>
      <c r="G228" s="3" t="s">
        <v>41</v>
      </c>
      <c r="H228" s="3" t="s">
        <v>33</v>
      </c>
      <c r="I228" s="3" t="s">
        <v>23</v>
      </c>
      <c r="J228" s="3">
        <v>1</v>
      </c>
      <c r="K228" s="3">
        <v>380</v>
      </c>
      <c r="L228" s="3">
        <v>380</v>
      </c>
    </row>
    <row r="229" spans="1:12">
      <c r="A229" s="3" t="s">
        <v>55</v>
      </c>
      <c r="B229" s="25">
        <v>46219</v>
      </c>
      <c r="C229" s="3" t="s">
        <v>11</v>
      </c>
      <c r="D229" s="3" t="s">
        <v>120</v>
      </c>
      <c r="E229" s="3" t="s">
        <v>56</v>
      </c>
      <c r="F229" s="3" t="s">
        <v>57</v>
      </c>
      <c r="G229" s="3" t="s">
        <v>32</v>
      </c>
      <c r="H229" s="3" t="s">
        <v>58</v>
      </c>
      <c r="I229" s="3" t="s">
        <v>23</v>
      </c>
      <c r="J229" s="3">
        <v>16</v>
      </c>
      <c r="K229" s="3">
        <v>475</v>
      </c>
      <c r="L229" s="3">
        <v>7600</v>
      </c>
    </row>
    <row r="230" spans="1:12">
      <c r="A230" s="3" t="s">
        <v>55</v>
      </c>
      <c r="B230" s="25">
        <v>46219</v>
      </c>
      <c r="C230" s="3" t="s">
        <v>110</v>
      </c>
      <c r="D230" s="3" t="s">
        <v>95</v>
      </c>
      <c r="E230" s="3" t="s">
        <v>111</v>
      </c>
      <c r="F230" s="3" t="s">
        <v>112</v>
      </c>
      <c r="G230" s="3" t="s">
        <v>50</v>
      </c>
      <c r="H230" s="3" t="s">
        <v>15</v>
      </c>
      <c r="I230" s="3" t="s">
        <v>16</v>
      </c>
      <c r="J230" s="3">
        <v>22</v>
      </c>
      <c r="K230" s="3">
        <v>742</v>
      </c>
      <c r="L230" s="3">
        <v>16324</v>
      </c>
    </row>
    <row r="231" spans="1:12">
      <c r="A231" s="3" t="s">
        <v>55</v>
      </c>
      <c r="B231" s="25">
        <v>46219</v>
      </c>
      <c r="C231" s="3" t="s">
        <v>38</v>
      </c>
      <c r="D231" s="3" t="s">
        <v>139</v>
      </c>
      <c r="E231" s="3" t="s">
        <v>114</v>
      </c>
      <c r="F231" s="3" t="s">
        <v>115</v>
      </c>
      <c r="G231" s="3" t="s">
        <v>41</v>
      </c>
      <c r="H231" s="3" t="s">
        <v>22</v>
      </c>
      <c r="I231" s="3" t="s">
        <v>23</v>
      </c>
      <c r="J231" s="3">
        <v>13</v>
      </c>
      <c r="K231" s="3">
        <v>400</v>
      </c>
      <c r="L231" s="3">
        <v>5200</v>
      </c>
    </row>
    <row r="232" spans="1:12">
      <c r="A232" s="3" t="s">
        <v>248</v>
      </c>
      <c r="B232" s="25">
        <v>46219</v>
      </c>
      <c r="C232" s="3" t="s">
        <v>139</v>
      </c>
      <c r="D232" s="3" t="s">
        <v>139</v>
      </c>
      <c r="E232" s="3" t="s">
        <v>249</v>
      </c>
      <c r="F232" s="3" t="s">
        <v>106</v>
      </c>
      <c r="G232" s="3" t="s">
        <v>41</v>
      </c>
      <c r="H232" s="3" t="s">
        <v>58</v>
      </c>
      <c r="I232" s="3" t="s">
        <v>23</v>
      </c>
      <c r="J232" s="4"/>
      <c r="K232" s="3">
        <v>462</v>
      </c>
      <c r="L232" s="4"/>
    </row>
    <row r="233" spans="1:12">
      <c r="A233" s="3" t="s">
        <v>283</v>
      </c>
      <c r="B233" s="25">
        <v>46219</v>
      </c>
      <c r="C233" s="3" t="s">
        <v>110</v>
      </c>
      <c r="D233" s="3" t="s">
        <v>95</v>
      </c>
      <c r="E233" s="3" t="s">
        <v>228</v>
      </c>
      <c r="F233" s="3" t="s">
        <v>164</v>
      </c>
      <c r="G233" s="3" t="s">
        <v>41</v>
      </c>
      <c r="H233" s="3" t="s">
        <v>22</v>
      </c>
      <c r="I233" s="3" t="s">
        <v>23</v>
      </c>
      <c r="J233" s="3">
        <v>4</v>
      </c>
      <c r="K233" s="3">
        <v>412</v>
      </c>
      <c r="L233" s="3">
        <v>1648</v>
      </c>
    </row>
    <row r="234" spans="1:12">
      <c r="A234" s="3" t="s">
        <v>283</v>
      </c>
      <c r="B234" s="25">
        <v>46219</v>
      </c>
      <c r="C234" s="3" t="s">
        <v>11</v>
      </c>
      <c r="D234" s="3" t="s">
        <v>120</v>
      </c>
      <c r="E234" s="3" t="s">
        <v>284</v>
      </c>
      <c r="F234" s="3" t="s">
        <v>66</v>
      </c>
      <c r="G234" s="3" t="s">
        <v>14</v>
      </c>
      <c r="H234" s="3" t="s">
        <v>28</v>
      </c>
      <c r="I234" s="3" t="s">
        <v>23</v>
      </c>
      <c r="J234" s="3">
        <v>3</v>
      </c>
      <c r="K234" s="3">
        <v>286</v>
      </c>
      <c r="L234" s="3">
        <v>858</v>
      </c>
    </row>
    <row r="235" spans="1:12">
      <c r="A235" s="3" t="s">
        <v>55</v>
      </c>
      <c r="B235" s="25">
        <v>46219</v>
      </c>
      <c r="C235" s="3" t="s">
        <v>18</v>
      </c>
      <c r="D235" s="3" t="s">
        <v>95</v>
      </c>
      <c r="E235" s="3" t="s">
        <v>117</v>
      </c>
      <c r="F235" s="3" t="s">
        <v>118</v>
      </c>
      <c r="G235" s="3" t="s">
        <v>21</v>
      </c>
      <c r="H235" s="3" t="s">
        <v>42</v>
      </c>
      <c r="I235" s="3" t="s">
        <v>23</v>
      </c>
      <c r="J235" s="3">
        <v>14</v>
      </c>
      <c r="K235" s="3">
        <v>422</v>
      </c>
      <c r="L235" s="3">
        <v>5908</v>
      </c>
    </row>
    <row r="236" spans="1:12">
      <c r="A236" s="3" t="s">
        <v>201</v>
      </c>
      <c r="B236" s="25">
        <v>46220</v>
      </c>
      <c r="C236" s="3" t="s">
        <v>95</v>
      </c>
      <c r="D236" s="3" t="s">
        <v>95</v>
      </c>
      <c r="E236" s="3" t="s">
        <v>19</v>
      </c>
      <c r="F236" s="3" t="s">
        <v>20</v>
      </c>
      <c r="G236" s="3" t="s">
        <v>21</v>
      </c>
      <c r="H236" s="3" t="s">
        <v>22</v>
      </c>
      <c r="I236" s="3" t="s">
        <v>23</v>
      </c>
      <c r="J236" s="3">
        <v>13</v>
      </c>
      <c r="K236" s="3">
        <v>405</v>
      </c>
      <c r="L236" s="3">
        <v>5265</v>
      </c>
    </row>
    <row r="237" spans="1:12">
      <c r="A237" s="3" t="s">
        <v>304</v>
      </c>
      <c r="B237" s="25">
        <v>46220</v>
      </c>
      <c r="C237" s="3" t="s">
        <v>38</v>
      </c>
      <c r="D237" s="3" t="s">
        <v>139</v>
      </c>
      <c r="E237" s="3" t="s">
        <v>166</v>
      </c>
      <c r="F237" s="3" t="s">
        <v>106</v>
      </c>
      <c r="G237" s="3" t="s">
        <v>14</v>
      </c>
      <c r="H237" s="3" t="s">
        <v>58</v>
      </c>
      <c r="I237" s="3" t="s">
        <v>23</v>
      </c>
      <c r="J237" s="3">
        <v>24</v>
      </c>
      <c r="K237" s="3">
        <v>476</v>
      </c>
      <c r="L237" s="3">
        <v>11424</v>
      </c>
    </row>
    <row r="238" spans="1:12">
      <c r="A238" s="3" t="s">
        <v>201</v>
      </c>
      <c r="B238" s="25">
        <v>46220</v>
      </c>
      <c r="C238" s="3" t="s">
        <v>108</v>
      </c>
      <c r="D238" s="3" t="s">
        <v>44</v>
      </c>
      <c r="E238" s="3" t="s">
        <v>31</v>
      </c>
      <c r="F238" s="3" t="s">
        <v>20</v>
      </c>
      <c r="G238" s="3" t="s">
        <v>32</v>
      </c>
      <c r="H238" s="3" t="s">
        <v>33</v>
      </c>
      <c r="I238" s="3" t="s">
        <v>23</v>
      </c>
      <c r="J238" s="3">
        <v>20</v>
      </c>
      <c r="K238" s="3">
        <v>405</v>
      </c>
      <c r="L238" s="3">
        <v>8100</v>
      </c>
    </row>
    <row r="239" spans="1:12">
      <c r="A239" s="3" t="s">
        <v>201</v>
      </c>
      <c r="B239" s="25">
        <v>46220</v>
      </c>
      <c r="C239" s="3" t="s">
        <v>120</v>
      </c>
      <c r="D239" s="3" t="s">
        <v>120</v>
      </c>
      <c r="E239" s="3" t="s">
        <v>315</v>
      </c>
      <c r="F239" s="3" t="s">
        <v>63</v>
      </c>
      <c r="G239" s="3" t="s">
        <v>14</v>
      </c>
      <c r="H239" s="3" t="s">
        <v>42</v>
      </c>
      <c r="I239" s="3" t="s">
        <v>23</v>
      </c>
      <c r="J239" s="3">
        <v>10</v>
      </c>
      <c r="K239" s="3">
        <v>420</v>
      </c>
      <c r="L239" s="3">
        <v>4200</v>
      </c>
    </row>
    <row r="240" spans="1:12">
      <c r="A240" s="3" t="s">
        <v>182</v>
      </c>
      <c r="B240" s="25">
        <v>46221</v>
      </c>
      <c r="C240" s="3" t="s">
        <v>18</v>
      </c>
      <c r="D240" s="3" t="s">
        <v>95</v>
      </c>
      <c r="E240" s="3" t="s">
        <v>144</v>
      </c>
      <c r="F240" s="3" t="s">
        <v>118</v>
      </c>
      <c r="G240" s="3" t="s">
        <v>50</v>
      </c>
      <c r="H240" s="3" t="s">
        <v>15</v>
      </c>
      <c r="I240" s="3" t="s">
        <v>16</v>
      </c>
      <c r="J240" s="3">
        <v>2</v>
      </c>
      <c r="K240" s="3">
        <v>760</v>
      </c>
      <c r="L240" s="3">
        <v>1520</v>
      </c>
    </row>
    <row r="241" spans="1:12">
      <c r="A241" s="3" t="s">
        <v>187</v>
      </c>
      <c r="B241" s="25">
        <v>46221</v>
      </c>
      <c r="C241" s="3" t="s">
        <v>120</v>
      </c>
      <c r="D241" s="3" t="s">
        <v>120</v>
      </c>
      <c r="E241" s="3" t="s">
        <v>188</v>
      </c>
      <c r="F241" s="3" t="s">
        <v>152</v>
      </c>
      <c r="G241" s="3" t="s">
        <v>21</v>
      </c>
      <c r="H241" s="3" t="s">
        <v>22</v>
      </c>
      <c r="I241" s="3" t="s">
        <v>23</v>
      </c>
      <c r="J241" s="3">
        <v>21</v>
      </c>
      <c r="K241" s="3">
        <v>410</v>
      </c>
      <c r="L241" s="3">
        <v>8610</v>
      </c>
    </row>
    <row r="242" spans="1:12">
      <c r="A242" s="3" t="s">
        <v>182</v>
      </c>
      <c r="B242" s="25">
        <v>46221</v>
      </c>
      <c r="C242" s="3" t="s">
        <v>120</v>
      </c>
      <c r="D242" s="3" t="s">
        <v>120</v>
      </c>
      <c r="E242" s="3" t="s">
        <v>149</v>
      </c>
      <c r="F242" s="3" t="s">
        <v>115</v>
      </c>
      <c r="G242" s="3" t="s">
        <v>50</v>
      </c>
      <c r="H242" s="3" t="s">
        <v>28</v>
      </c>
      <c r="I242" s="3" t="s">
        <v>23</v>
      </c>
      <c r="J242" s="3">
        <v>12</v>
      </c>
      <c r="K242" s="3">
        <v>287</v>
      </c>
      <c r="L242" s="3">
        <v>3444</v>
      </c>
    </row>
    <row r="243" spans="1:12">
      <c r="A243" s="3" t="s">
        <v>107</v>
      </c>
      <c r="B243" s="25">
        <v>46222</v>
      </c>
      <c r="C243" s="3" t="s">
        <v>108</v>
      </c>
      <c r="D243" s="3" t="s">
        <v>44</v>
      </c>
      <c r="E243" s="3" t="s">
        <v>48</v>
      </c>
      <c r="F243" s="3" t="s">
        <v>49</v>
      </c>
      <c r="G243" s="3" t="s">
        <v>50</v>
      </c>
      <c r="H243" s="3" t="s">
        <v>42</v>
      </c>
      <c r="I243" s="3" t="s">
        <v>23</v>
      </c>
      <c r="J243" s="3">
        <v>24</v>
      </c>
      <c r="K243" s="3">
        <v>439</v>
      </c>
      <c r="L243" s="3">
        <v>10536</v>
      </c>
    </row>
    <row r="244" spans="1:12">
      <c r="A244" s="3" t="s">
        <v>107</v>
      </c>
      <c r="B244" s="25">
        <v>46222</v>
      </c>
      <c r="C244" s="3" t="s">
        <v>38</v>
      </c>
      <c r="D244" s="3" t="s">
        <v>139</v>
      </c>
      <c r="E244" s="3" t="s">
        <v>270</v>
      </c>
      <c r="F244" s="3" t="s">
        <v>160</v>
      </c>
      <c r="G244" s="3" t="s">
        <v>50</v>
      </c>
      <c r="H244" s="3" t="s">
        <v>22</v>
      </c>
      <c r="I244" s="3" t="s">
        <v>23</v>
      </c>
      <c r="J244" s="3">
        <v>16</v>
      </c>
      <c r="K244" s="3">
        <v>406</v>
      </c>
      <c r="L244" s="3">
        <v>6496</v>
      </c>
    </row>
    <row r="245" spans="1:12">
      <c r="A245" s="3" t="s">
        <v>75</v>
      </c>
      <c r="B245" s="25">
        <v>46223</v>
      </c>
      <c r="C245" s="3" t="s">
        <v>52</v>
      </c>
      <c r="D245" s="3" t="s">
        <v>25</v>
      </c>
      <c r="E245" s="3" t="s">
        <v>76</v>
      </c>
      <c r="F245" s="3" t="s">
        <v>77</v>
      </c>
      <c r="G245" s="3" t="s">
        <v>41</v>
      </c>
      <c r="H245" s="3" t="s">
        <v>15</v>
      </c>
      <c r="I245" s="3" t="s">
        <v>16</v>
      </c>
      <c r="J245" s="3">
        <v>12</v>
      </c>
      <c r="K245" s="3">
        <v>744</v>
      </c>
      <c r="L245" s="3">
        <v>8928</v>
      </c>
    </row>
    <row r="246" spans="1:12">
      <c r="A246" s="3" t="s">
        <v>245</v>
      </c>
      <c r="B246" s="25">
        <v>46223</v>
      </c>
      <c r="C246" s="3" t="s">
        <v>73</v>
      </c>
      <c r="D246" s="3" t="s">
        <v>44</v>
      </c>
      <c r="E246" s="3" t="s">
        <v>147</v>
      </c>
      <c r="F246" s="3" t="s">
        <v>49</v>
      </c>
      <c r="G246" s="3" t="s">
        <v>21</v>
      </c>
      <c r="H246" s="3" t="s">
        <v>33</v>
      </c>
      <c r="I246" s="3" t="s">
        <v>23</v>
      </c>
      <c r="J246" s="3">
        <v>9</v>
      </c>
      <c r="K246" s="3">
        <v>391</v>
      </c>
      <c r="L246" s="3">
        <v>3519</v>
      </c>
    </row>
    <row r="247" spans="1:12">
      <c r="A247" s="3" t="s">
        <v>269</v>
      </c>
      <c r="B247" s="25">
        <v>46223</v>
      </c>
      <c r="C247" s="3" t="s">
        <v>38</v>
      </c>
      <c r="D247" s="3" t="s">
        <v>139</v>
      </c>
      <c r="E247" s="3" t="s">
        <v>270</v>
      </c>
      <c r="F247" s="3" t="s">
        <v>160</v>
      </c>
      <c r="G247" s="3" t="s">
        <v>50</v>
      </c>
      <c r="H247" s="3" t="s">
        <v>33</v>
      </c>
      <c r="I247" s="3" t="s">
        <v>23</v>
      </c>
      <c r="J247" s="3">
        <v>10</v>
      </c>
      <c r="K247" s="3">
        <v>396</v>
      </c>
      <c r="L247" s="3">
        <v>3960</v>
      </c>
    </row>
    <row r="248" spans="1:12">
      <c r="A248" s="3" t="s">
        <v>269</v>
      </c>
      <c r="B248" s="25">
        <v>46223</v>
      </c>
      <c r="C248" s="3" t="s">
        <v>38</v>
      </c>
      <c r="D248" s="3" t="s">
        <v>139</v>
      </c>
      <c r="E248" s="3" t="s">
        <v>140</v>
      </c>
      <c r="F248" s="3" t="s">
        <v>118</v>
      </c>
      <c r="G248" s="3" t="s">
        <v>50</v>
      </c>
      <c r="H248" s="3" t="s">
        <v>58</v>
      </c>
      <c r="I248" s="3" t="s">
        <v>23</v>
      </c>
      <c r="J248" s="3">
        <v>13</v>
      </c>
      <c r="K248" s="3">
        <v>466</v>
      </c>
      <c r="L248" s="3">
        <v>6058</v>
      </c>
    </row>
    <row r="249" spans="1:12">
      <c r="A249" s="3" t="s">
        <v>269</v>
      </c>
      <c r="B249" s="25">
        <v>46223</v>
      </c>
      <c r="C249" s="3" t="s">
        <v>139</v>
      </c>
      <c r="D249" s="3" t="s">
        <v>139</v>
      </c>
      <c r="E249" s="3" t="s">
        <v>255</v>
      </c>
      <c r="F249" s="3" t="s">
        <v>27</v>
      </c>
      <c r="G249" s="3" t="s">
        <v>41</v>
      </c>
      <c r="H249" s="3" t="s">
        <v>58</v>
      </c>
      <c r="I249" s="3" t="s">
        <v>23</v>
      </c>
      <c r="J249" s="3">
        <v>13</v>
      </c>
      <c r="K249" s="3">
        <v>451</v>
      </c>
      <c r="L249" s="3">
        <v>5863</v>
      </c>
    </row>
    <row r="250" spans="1:12">
      <c r="A250" s="3" t="s">
        <v>29</v>
      </c>
      <c r="B250" s="25">
        <v>46224</v>
      </c>
      <c r="C250" s="3" t="s">
        <v>30</v>
      </c>
      <c r="D250" s="3" t="s">
        <v>44</v>
      </c>
      <c r="E250" s="3" t="s">
        <v>31</v>
      </c>
      <c r="F250" s="3" t="s">
        <v>20</v>
      </c>
      <c r="G250" s="3" t="s">
        <v>32</v>
      </c>
      <c r="H250" s="3" t="s">
        <v>33</v>
      </c>
      <c r="I250" s="3" t="s">
        <v>23</v>
      </c>
      <c r="J250" s="3">
        <v>2</v>
      </c>
      <c r="K250" s="3">
        <v>407</v>
      </c>
      <c r="L250" s="3">
        <v>814</v>
      </c>
    </row>
    <row r="251" spans="1:12">
      <c r="A251" s="3" t="s">
        <v>101</v>
      </c>
      <c r="B251" s="25">
        <v>46224</v>
      </c>
      <c r="C251" s="3" t="s">
        <v>52</v>
      </c>
      <c r="D251" s="3" t="s">
        <v>25</v>
      </c>
      <c r="E251" s="3" t="s">
        <v>102</v>
      </c>
      <c r="F251" s="3" t="s">
        <v>103</v>
      </c>
      <c r="G251" s="3" t="s">
        <v>14</v>
      </c>
      <c r="H251" s="3" t="s">
        <v>42</v>
      </c>
      <c r="I251" s="3" t="s">
        <v>23</v>
      </c>
      <c r="J251" s="3">
        <v>12</v>
      </c>
      <c r="K251" s="3">
        <v>410</v>
      </c>
      <c r="L251" s="3">
        <v>4920</v>
      </c>
    </row>
    <row r="252" spans="1:12">
      <c r="A252" s="3" t="s">
        <v>101</v>
      </c>
      <c r="B252" s="25">
        <v>46224</v>
      </c>
      <c r="C252" s="3" t="s">
        <v>110</v>
      </c>
      <c r="D252" s="3" t="s">
        <v>95</v>
      </c>
      <c r="E252" s="3" t="s">
        <v>134</v>
      </c>
      <c r="F252" s="3" t="s">
        <v>106</v>
      </c>
      <c r="G252" s="3" t="s">
        <v>41</v>
      </c>
      <c r="H252" s="3" t="s">
        <v>22</v>
      </c>
      <c r="I252" s="3" t="s">
        <v>23</v>
      </c>
      <c r="J252" s="3">
        <v>10</v>
      </c>
      <c r="K252" s="3">
        <v>395</v>
      </c>
      <c r="L252" s="3">
        <v>3950</v>
      </c>
    </row>
    <row r="253" spans="1:12">
      <c r="A253" s="3" t="s">
        <v>29</v>
      </c>
      <c r="B253" s="25">
        <v>46224</v>
      </c>
      <c r="C253" s="3" t="s">
        <v>110</v>
      </c>
      <c r="D253" s="3" t="s">
        <v>95</v>
      </c>
      <c r="E253" s="3" t="s">
        <v>144</v>
      </c>
      <c r="F253" s="3" t="s">
        <v>118</v>
      </c>
      <c r="G253" s="3" t="s">
        <v>50</v>
      </c>
      <c r="H253" s="3" t="s">
        <v>42</v>
      </c>
      <c r="I253" s="3" t="s">
        <v>23</v>
      </c>
      <c r="J253" s="3">
        <v>20</v>
      </c>
      <c r="K253" s="3">
        <v>422</v>
      </c>
      <c r="L253" s="3">
        <v>8440</v>
      </c>
    </row>
    <row r="254" spans="1:12">
      <c r="A254" s="3" t="s">
        <v>267</v>
      </c>
      <c r="B254" s="25">
        <v>46224</v>
      </c>
      <c r="C254" s="3" t="s">
        <v>110</v>
      </c>
      <c r="D254" s="3" t="s">
        <v>95</v>
      </c>
      <c r="E254" s="3" t="s">
        <v>220</v>
      </c>
      <c r="F254" s="3" t="s">
        <v>221</v>
      </c>
      <c r="G254" s="3" t="s">
        <v>21</v>
      </c>
      <c r="H254" s="3" t="s">
        <v>22</v>
      </c>
      <c r="I254" s="3" t="s">
        <v>23</v>
      </c>
      <c r="J254" s="3">
        <v>11</v>
      </c>
      <c r="K254" s="3">
        <v>415</v>
      </c>
      <c r="L254" s="3">
        <v>4565</v>
      </c>
    </row>
    <row r="255" spans="1:12">
      <c r="A255" s="3" t="s">
        <v>29</v>
      </c>
      <c r="B255" s="25">
        <v>46224</v>
      </c>
      <c r="C255" s="3" t="s">
        <v>38</v>
      </c>
      <c r="D255" s="3" t="s">
        <v>139</v>
      </c>
      <c r="E255" s="3" t="s">
        <v>253</v>
      </c>
      <c r="F255" s="3" t="s">
        <v>239</v>
      </c>
      <c r="G255" s="3" t="s">
        <v>21</v>
      </c>
      <c r="H255" s="3" t="s">
        <v>33</v>
      </c>
      <c r="I255" s="3" t="s">
        <v>23</v>
      </c>
      <c r="J255" s="3">
        <v>25</v>
      </c>
      <c r="K255" s="3">
        <v>390</v>
      </c>
      <c r="L255" s="3">
        <v>9750</v>
      </c>
    </row>
    <row r="256" spans="1:12">
      <c r="A256" s="3" t="s">
        <v>226</v>
      </c>
      <c r="B256" s="25">
        <v>46225</v>
      </c>
      <c r="C256" s="3" t="s">
        <v>44</v>
      </c>
      <c r="D256" s="3" t="s">
        <v>44</v>
      </c>
      <c r="E256" s="3" t="s">
        <v>31</v>
      </c>
      <c r="F256" s="3" t="s">
        <v>20</v>
      </c>
      <c r="G256" s="3" t="s">
        <v>32</v>
      </c>
      <c r="H256" s="3" t="s">
        <v>33</v>
      </c>
      <c r="I256" s="3" t="s">
        <v>23</v>
      </c>
      <c r="J256" s="3">
        <v>16</v>
      </c>
      <c r="K256" s="3">
        <v>394</v>
      </c>
      <c r="L256" s="3">
        <v>6304</v>
      </c>
    </row>
    <row r="257" spans="1:12">
      <c r="A257" s="3" t="s">
        <v>232</v>
      </c>
      <c r="B257" s="25">
        <v>46225</v>
      </c>
      <c r="C257" s="3" t="s">
        <v>120</v>
      </c>
      <c r="D257" s="3" t="s">
        <v>120</v>
      </c>
      <c r="E257" s="3" t="s">
        <v>92</v>
      </c>
      <c r="F257" s="3" t="s">
        <v>93</v>
      </c>
      <c r="G257" s="3" t="s">
        <v>14</v>
      </c>
      <c r="H257" s="3" t="s">
        <v>42</v>
      </c>
      <c r="I257" s="3" t="s">
        <v>23</v>
      </c>
      <c r="J257" s="3">
        <v>13</v>
      </c>
      <c r="K257" s="3">
        <v>435</v>
      </c>
      <c r="L257" s="3">
        <v>5655</v>
      </c>
    </row>
    <row r="258" spans="1:12">
      <c r="A258" s="3" t="s">
        <v>232</v>
      </c>
      <c r="B258" s="25">
        <v>46225</v>
      </c>
      <c r="C258" s="3" t="s">
        <v>52</v>
      </c>
      <c r="D258" s="3" t="s">
        <v>25</v>
      </c>
      <c r="E258" s="3" t="s">
        <v>243</v>
      </c>
      <c r="F258" s="3" t="s">
        <v>244</v>
      </c>
      <c r="G258" s="3" t="s">
        <v>21</v>
      </c>
      <c r="H258" s="3" t="s">
        <v>28</v>
      </c>
      <c r="I258" s="3" t="s">
        <v>23</v>
      </c>
      <c r="J258" s="3">
        <v>8</v>
      </c>
      <c r="K258" s="3">
        <v>289</v>
      </c>
      <c r="L258" s="3">
        <v>2312</v>
      </c>
    </row>
    <row r="259" spans="1:12">
      <c r="A259" s="3" t="s">
        <v>91</v>
      </c>
      <c r="B259" s="25">
        <v>46226</v>
      </c>
      <c r="C259" s="3" t="s">
        <v>11</v>
      </c>
      <c r="D259" s="3" t="s">
        <v>120</v>
      </c>
      <c r="E259" s="3" t="s">
        <v>92</v>
      </c>
      <c r="F259" s="3" t="s">
        <v>93</v>
      </c>
      <c r="G259" s="3" t="s">
        <v>14</v>
      </c>
      <c r="H259" s="3" t="s">
        <v>58</v>
      </c>
      <c r="I259" s="3" t="s">
        <v>23</v>
      </c>
      <c r="J259" s="3">
        <v>12</v>
      </c>
      <c r="K259" s="3">
        <v>473</v>
      </c>
      <c r="L259" s="3">
        <v>5676</v>
      </c>
    </row>
    <row r="260" spans="1:12">
      <c r="A260" s="3" t="s">
        <v>91</v>
      </c>
      <c r="B260" s="25">
        <v>46226</v>
      </c>
      <c r="C260" s="3" t="s">
        <v>38</v>
      </c>
      <c r="D260" s="3" t="s">
        <v>139</v>
      </c>
      <c r="E260" s="3" t="s">
        <v>240</v>
      </c>
      <c r="F260" s="3" t="s">
        <v>239</v>
      </c>
      <c r="G260" s="3" t="s">
        <v>21</v>
      </c>
      <c r="H260" s="3" t="s">
        <v>22</v>
      </c>
      <c r="I260" s="3" t="s">
        <v>23</v>
      </c>
      <c r="J260" s="3">
        <v>11</v>
      </c>
      <c r="K260" s="3">
        <v>412</v>
      </c>
      <c r="L260" s="3">
        <v>4532</v>
      </c>
    </row>
    <row r="261" spans="1:12">
      <c r="A261" s="3" t="s">
        <v>323</v>
      </c>
      <c r="B261" s="25">
        <v>46226</v>
      </c>
      <c r="C261" s="3" t="s">
        <v>38</v>
      </c>
      <c r="D261" s="3" t="s">
        <v>139</v>
      </c>
      <c r="E261" s="3" t="s">
        <v>114</v>
      </c>
      <c r="F261" s="3" t="s">
        <v>115</v>
      </c>
      <c r="G261" s="3" t="s">
        <v>41</v>
      </c>
      <c r="H261" s="3" t="s">
        <v>33</v>
      </c>
      <c r="I261" s="3" t="s">
        <v>23</v>
      </c>
      <c r="J261" s="3">
        <v>14</v>
      </c>
      <c r="K261" s="3">
        <v>399</v>
      </c>
      <c r="L261" s="3">
        <v>5586</v>
      </c>
    </row>
    <row r="262" spans="1:12">
      <c r="A262" s="3" t="s">
        <v>91</v>
      </c>
      <c r="B262" s="25">
        <v>46226</v>
      </c>
      <c r="C262" s="3" t="s">
        <v>139</v>
      </c>
      <c r="D262" s="3" t="s">
        <v>139</v>
      </c>
      <c r="E262" s="3" t="s">
        <v>255</v>
      </c>
      <c r="F262" s="3" t="s">
        <v>27</v>
      </c>
      <c r="G262" s="3" t="s">
        <v>41</v>
      </c>
      <c r="H262" s="3" t="s">
        <v>58</v>
      </c>
      <c r="I262" s="3" t="s">
        <v>23</v>
      </c>
      <c r="J262" s="3">
        <v>16</v>
      </c>
      <c r="K262" s="3">
        <v>454</v>
      </c>
      <c r="L262" s="3">
        <v>7264</v>
      </c>
    </row>
    <row r="263" spans="1:12">
      <c r="A263" s="3" t="s">
        <v>113</v>
      </c>
      <c r="B263" s="25">
        <v>46227</v>
      </c>
      <c r="C263" s="3" t="s">
        <v>38</v>
      </c>
      <c r="D263" s="3" t="s">
        <v>139</v>
      </c>
      <c r="E263" s="3" t="s">
        <v>114</v>
      </c>
      <c r="F263" s="3" t="s">
        <v>115</v>
      </c>
      <c r="G263" s="3" t="s">
        <v>41</v>
      </c>
      <c r="H263" s="3" t="s">
        <v>22</v>
      </c>
      <c r="I263" s="3" t="s">
        <v>23</v>
      </c>
      <c r="J263" s="3">
        <v>23</v>
      </c>
      <c r="K263" s="3">
        <v>401</v>
      </c>
      <c r="L263" s="3">
        <v>9223</v>
      </c>
    </row>
    <row r="264" spans="1:12">
      <c r="A264" s="3" t="s">
        <v>146</v>
      </c>
      <c r="B264" s="25">
        <v>46227</v>
      </c>
      <c r="C264" s="3" t="s">
        <v>44</v>
      </c>
      <c r="D264" s="3" t="s">
        <v>44</v>
      </c>
      <c r="E264" s="3" t="s">
        <v>147</v>
      </c>
      <c r="F264" s="3" t="s">
        <v>49</v>
      </c>
      <c r="G264" s="3" t="s">
        <v>21</v>
      </c>
      <c r="H264" s="3" t="s">
        <v>15</v>
      </c>
      <c r="I264" s="3" t="s">
        <v>16</v>
      </c>
      <c r="J264" s="3">
        <v>5</v>
      </c>
      <c r="K264" s="3">
        <v>755</v>
      </c>
      <c r="L264" s="3">
        <v>3775</v>
      </c>
    </row>
    <row r="265" spans="1:12">
      <c r="A265" s="3" t="s">
        <v>146</v>
      </c>
      <c r="B265" s="25">
        <v>46227</v>
      </c>
      <c r="C265" s="3" t="s">
        <v>38</v>
      </c>
      <c r="D265" s="3" t="s">
        <v>139</v>
      </c>
      <c r="E265" s="3" t="s">
        <v>193</v>
      </c>
      <c r="F265" s="3" t="s">
        <v>118</v>
      </c>
      <c r="G265" s="3" t="s">
        <v>14</v>
      </c>
      <c r="H265" s="3" t="s">
        <v>15</v>
      </c>
      <c r="I265" s="3" t="s">
        <v>16</v>
      </c>
      <c r="J265" s="3">
        <v>2</v>
      </c>
      <c r="K265" s="3">
        <v>740</v>
      </c>
      <c r="L265" s="3">
        <v>1480</v>
      </c>
    </row>
    <row r="266" spans="1:12">
      <c r="A266" s="3" t="s">
        <v>113</v>
      </c>
      <c r="B266" s="25">
        <v>46227</v>
      </c>
      <c r="C266" s="3" t="s">
        <v>44</v>
      </c>
      <c r="D266" s="3" t="s">
        <v>44</v>
      </c>
      <c r="E266" s="3" t="s">
        <v>31</v>
      </c>
      <c r="F266" s="3" t="s">
        <v>20</v>
      </c>
      <c r="G266" s="3" t="s">
        <v>32</v>
      </c>
      <c r="H266" s="3" t="s">
        <v>42</v>
      </c>
      <c r="I266" s="3" t="s">
        <v>23</v>
      </c>
      <c r="J266" s="3">
        <v>16</v>
      </c>
      <c r="K266" s="3">
        <v>421</v>
      </c>
      <c r="L266" s="3">
        <v>6736</v>
      </c>
    </row>
    <row r="267" spans="1:12">
      <c r="A267" s="3" t="s">
        <v>146</v>
      </c>
      <c r="B267" s="25">
        <v>46227</v>
      </c>
      <c r="C267" s="3" t="s">
        <v>108</v>
      </c>
      <c r="D267" s="3" t="s">
        <v>44</v>
      </c>
      <c r="E267" s="3" t="s">
        <v>263</v>
      </c>
      <c r="F267" s="3" t="s">
        <v>100</v>
      </c>
      <c r="G267" s="3" t="s">
        <v>21</v>
      </c>
      <c r="H267" s="3" t="s">
        <v>22</v>
      </c>
      <c r="I267" s="3" t="s">
        <v>23</v>
      </c>
      <c r="J267" s="3">
        <v>13</v>
      </c>
      <c r="K267" s="3">
        <v>420</v>
      </c>
      <c r="L267" s="3">
        <v>5460</v>
      </c>
    </row>
    <row r="268" spans="1:12">
      <c r="A268" s="3" t="s">
        <v>305</v>
      </c>
      <c r="B268" s="25">
        <v>46227</v>
      </c>
      <c r="C268" s="3" t="s">
        <v>139</v>
      </c>
      <c r="D268" s="3" t="s">
        <v>139</v>
      </c>
      <c r="E268" s="3" t="s">
        <v>140</v>
      </c>
      <c r="F268" s="3" t="s">
        <v>118</v>
      </c>
      <c r="G268" s="3" t="s">
        <v>50</v>
      </c>
      <c r="H268" s="3" t="s">
        <v>42</v>
      </c>
      <c r="I268" s="3" t="s">
        <v>23</v>
      </c>
      <c r="J268" s="3">
        <v>10</v>
      </c>
      <c r="K268" s="3">
        <v>434</v>
      </c>
      <c r="L268" s="3">
        <v>4340</v>
      </c>
    </row>
    <row r="269" spans="1:12">
      <c r="A269" s="3" t="s">
        <v>305</v>
      </c>
      <c r="B269" s="25">
        <v>46227</v>
      </c>
      <c r="C269" s="3" t="s">
        <v>120</v>
      </c>
      <c r="D269" s="3" t="s">
        <v>120</v>
      </c>
      <c r="E269" s="3" t="s">
        <v>56</v>
      </c>
      <c r="F269" s="3" t="s">
        <v>57</v>
      </c>
      <c r="G269" s="3" t="s">
        <v>32</v>
      </c>
      <c r="H269" s="3" t="s">
        <v>42</v>
      </c>
      <c r="I269" s="3" t="s">
        <v>23</v>
      </c>
      <c r="J269" s="3">
        <v>3</v>
      </c>
      <c r="K269" s="3">
        <v>436</v>
      </c>
      <c r="L269" s="3">
        <v>1308</v>
      </c>
    </row>
    <row r="270" spans="1:12">
      <c r="A270" s="3" t="s">
        <v>157</v>
      </c>
      <c r="B270" s="25">
        <v>46228</v>
      </c>
      <c r="C270" s="3" t="s">
        <v>95</v>
      </c>
      <c r="D270" s="3" t="s">
        <v>95</v>
      </c>
      <c r="E270" s="3" t="s">
        <v>117</v>
      </c>
      <c r="F270" s="3" t="s">
        <v>118</v>
      </c>
      <c r="G270" s="3" t="s">
        <v>21</v>
      </c>
      <c r="H270" s="3" t="s">
        <v>58</v>
      </c>
      <c r="I270" s="3" t="s">
        <v>23</v>
      </c>
      <c r="J270" s="3">
        <v>25</v>
      </c>
      <c r="K270" s="3">
        <v>460</v>
      </c>
      <c r="L270" s="3">
        <v>11500</v>
      </c>
    </row>
    <row r="271" spans="1:12">
      <c r="A271" s="3" t="s">
        <v>219</v>
      </c>
      <c r="B271" s="25">
        <v>46228</v>
      </c>
      <c r="C271" s="3" t="s">
        <v>18</v>
      </c>
      <c r="D271" s="3" t="s">
        <v>95</v>
      </c>
      <c r="E271" s="3" t="s">
        <v>220</v>
      </c>
      <c r="F271" s="3" t="s">
        <v>221</v>
      </c>
      <c r="G271" s="3" t="s">
        <v>21</v>
      </c>
      <c r="H271" s="3" t="s">
        <v>33</v>
      </c>
      <c r="I271" s="3" t="s">
        <v>23</v>
      </c>
      <c r="J271" s="3">
        <v>25</v>
      </c>
      <c r="K271" s="3">
        <v>401</v>
      </c>
      <c r="L271" s="3">
        <v>10025</v>
      </c>
    </row>
    <row r="272" spans="1:12">
      <c r="A272" s="3" t="s">
        <v>229</v>
      </c>
      <c r="B272" s="25">
        <v>46228</v>
      </c>
      <c r="C272" s="3" t="s">
        <v>88</v>
      </c>
      <c r="D272" s="3" t="s">
        <v>25</v>
      </c>
      <c r="E272" s="3" t="s">
        <v>76</v>
      </c>
      <c r="F272" s="3" t="s">
        <v>77</v>
      </c>
      <c r="G272" s="3" t="s">
        <v>41</v>
      </c>
      <c r="H272" s="3" t="s">
        <v>33</v>
      </c>
      <c r="I272" s="3" t="s">
        <v>23</v>
      </c>
      <c r="J272" s="3">
        <v>22</v>
      </c>
      <c r="K272" s="3">
        <v>405</v>
      </c>
      <c r="L272" s="3">
        <v>8910</v>
      </c>
    </row>
    <row r="273" spans="1:12">
      <c r="A273" s="3" t="s">
        <v>219</v>
      </c>
      <c r="B273" s="25">
        <v>46228</v>
      </c>
      <c r="C273" s="3" t="s">
        <v>52</v>
      </c>
      <c r="D273" s="3" t="s">
        <v>25</v>
      </c>
      <c r="E273" s="3" t="s">
        <v>243</v>
      </c>
      <c r="F273" s="3" t="s">
        <v>244</v>
      </c>
      <c r="G273" s="3" t="s">
        <v>21</v>
      </c>
      <c r="H273" s="3" t="s">
        <v>22</v>
      </c>
      <c r="I273" s="3" t="s">
        <v>23</v>
      </c>
      <c r="J273" s="3">
        <v>6</v>
      </c>
      <c r="K273" s="3">
        <v>396</v>
      </c>
      <c r="L273" s="3">
        <v>2376</v>
      </c>
    </row>
    <row r="274" spans="1:12">
      <c r="A274" s="3" t="s">
        <v>229</v>
      </c>
      <c r="B274" s="25">
        <v>46228</v>
      </c>
      <c r="C274" s="3" t="s">
        <v>18</v>
      </c>
      <c r="D274" s="3" t="s">
        <v>95</v>
      </c>
      <c r="E274" s="3" t="s">
        <v>228</v>
      </c>
      <c r="F274" s="3" t="s">
        <v>164</v>
      </c>
      <c r="G274" s="3" t="s">
        <v>41</v>
      </c>
      <c r="H274" s="3" t="s">
        <v>42</v>
      </c>
      <c r="I274" s="3" t="s">
        <v>23</v>
      </c>
      <c r="J274" s="3">
        <v>19</v>
      </c>
      <c r="K274" s="3">
        <v>423</v>
      </c>
      <c r="L274" s="3">
        <v>8037</v>
      </c>
    </row>
    <row r="275" spans="1:12">
      <c r="A275" s="3" t="s">
        <v>157</v>
      </c>
      <c r="B275" s="25">
        <v>46228</v>
      </c>
      <c r="C275" s="3" t="s">
        <v>11</v>
      </c>
      <c r="D275" s="3" t="s">
        <v>120</v>
      </c>
      <c r="E275" s="3" t="s">
        <v>284</v>
      </c>
      <c r="F275" s="3" t="s">
        <v>66</v>
      </c>
      <c r="G275" s="3" t="s">
        <v>14</v>
      </c>
      <c r="H275" s="3" t="s">
        <v>58</v>
      </c>
      <c r="I275" s="3" t="s">
        <v>23</v>
      </c>
      <c r="J275" s="3">
        <v>16</v>
      </c>
      <c r="K275" s="3">
        <v>464</v>
      </c>
      <c r="L275" s="3">
        <v>7424</v>
      </c>
    </row>
    <row r="276" spans="1:12">
      <c r="A276" s="3" t="s">
        <v>229</v>
      </c>
      <c r="B276" s="25">
        <v>46228</v>
      </c>
      <c r="C276" s="3" t="s">
        <v>52</v>
      </c>
      <c r="D276" s="3" t="s">
        <v>25</v>
      </c>
      <c r="E276" s="3" t="s">
        <v>102</v>
      </c>
      <c r="F276" s="3" t="s">
        <v>103</v>
      </c>
      <c r="G276" s="3" t="s">
        <v>14</v>
      </c>
      <c r="H276" s="3" t="s">
        <v>22</v>
      </c>
      <c r="I276" s="3" t="s">
        <v>23</v>
      </c>
      <c r="J276" s="3">
        <v>5</v>
      </c>
      <c r="K276" s="3">
        <v>412</v>
      </c>
      <c r="L276" s="3">
        <v>2060</v>
      </c>
    </row>
    <row r="277" spans="1:12">
      <c r="A277" s="3" t="s">
        <v>229</v>
      </c>
      <c r="B277" s="25">
        <v>46228</v>
      </c>
      <c r="C277" s="3" t="s">
        <v>139</v>
      </c>
      <c r="D277" s="3" t="s">
        <v>139</v>
      </c>
      <c r="E277" s="3" t="s">
        <v>249</v>
      </c>
      <c r="F277" s="3" t="s">
        <v>106</v>
      </c>
      <c r="G277" s="3" t="s">
        <v>41</v>
      </c>
      <c r="H277" s="3" t="s">
        <v>33</v>
      </c>
      <c r="I277" s="3" t="s">
        <v>23</v>
      </c>
      <c r="J277" s="3">
        <v>11</v>
      </c>
      <c r="K277" s="3">
        <v>403</v>
      </c>
      <c r="L277" s="3">
        <v>4433</v>
      </c>
    </row>
    <row r="278" spans="1:12">
      <c r="A278" s="3" t="s">
        <v>165</v>
      </c>
      <c r="B278" s="25">
        <v>46229</v>
      </c>
      <c r="C278" s="3" t="s">
        <v>38</v>
      </c>
      <c r="D278" s="3" t="s">
        <v>139</v>
      </c>
      <c r="E278" s="3" t="s">
        <v>166</v>
      </c>
      <c r="F278" s="3" t="s">
        <v>106</v>
      </c>
      <c r="G278" s="3" t="s">
        <v>14</v>
      </c>
      <c r="H278" s="3" t="s">
        <v>22</v>
      </c>
      <c r="I278" s="3" t="s">
        <v>23</v>
      </c>
      <c r="J278" s="3">
        <v>19</v>
      </c>
      <c r="K278" s="3">
        <v>396</v>
      </c>
      <c r="L278" s="3">
        <v>7524</v>
      </c>
    </row>
    <row r="279" spans="1:12">
      <c r="A279" s="3" t="s">
        <v>262</v>
      </c>
      <c r="B279" s="25">
        <v>46229</v>
      </c>
      <c r="C279" s="3" t="s">
        <v>30</v>
      </c>
      <c r="D279" s="3" t="s">
        <v>44</v>
      </c>
      <c r="E279" s="3" t="s">
        <v>263</v>
      </c>
      <c r="F279" s="3" t="s">
        <v>100</v>
      </c>
      <c r="G279" s="3" t="s">
        <v>21</v>
      </c>
      <c r="H279" s="3" t="s">
        <v>42</v>
      </c>
      <c r="I279" s="3" t="s">
        <v>23</v>
      </c>
      <c r="J279" s="3">
        <v>1</v>
      </c>
      <c r="K279" s="3">
        <v>413</v>
      </c>
      <c r="L279" s="3">
        <v>413</v>
      </c>
    </row>
    <row r="280" spans="1:12">
      <c r="A280" s="3" t="s">
        <v>165</v>
      </c>
      <c r="B280" s="25">
        <v>46229</v>
      </c>
      <c r="C280" s="3" t="s">
        <v>110</v>
      </c>
      <c r="D280" s="3" t="s">
        <v>95</v>
      </c>
      <c r="E280" s="3" t="s">
        <v>134</v>
      </c>
      <c r="F280" s="3" t="s">
        <v>106</v>
      </c>
      <c r="G280" s="3" t="s">
        <v>41</v>
      </c>
      <c r="H280" s="3" t="s">
        <v>58</v>
      </c>
      <c r="I280" s="3" t="s">
        <v>23</v>
      </c>
      <c r="J280" s="3">
        <v>15</v>
      </c>
      <c r="K280" s="3">
        <v>479</v>
      </c>
      <c r="L280" s="3">
        <v>7185</v>
      </c>
    </row>
    <row r="281" spans="1:12">
      <c r="A281" s="3" t="s">
        <v>165</v>
      </c>
      <c r="B281" s="25">
        <v>46229</v>
      </c>
      <c r="C281" s="3" t="s">
        <v>52</v>
      </c>
      <c r="D281" s="3" t="s">
        <v>25</v>
      </c>
      <c r="E281" s="3" t="s">
        <v>102</v>
      </c>
      <c r="F281" s="3" t="s">
        <v>103</v>
      </c>
      <c r="G281" s="3" t="s">
        <v>14</v>
      </c>
      <c r="H281" s="3" t="s">
        <v>15</v>
      </c>
      <c r="I281" s="3" t="s">
        <v>16</v>
      </c>
      <c r="J281" s="4"/>
      <c r="K281" s="3">
        <v>762</v>
      </c>
      <c r="L281" s="4"/>
    </row>
    <row r="282" spans="1:12">
      <c r="A282" s="3" t="s">
        <v>262</v>
      </c>
      <c r="B282" s="25">
        <v>46229</v>
      </c>
      <c r="C282" s="3" t="s">
        <v>73</v>
      </c>
      <c r="D282" s="3" t="s">
        <v>44</v>
      </c>
      <c r="E282" s="3" t="s">
        <v>176</v>
      </c>
      <c r="F282" s="3" t="s">
        <v>103</v>
      </c>
      <c r="G282" s="3" t="s">
        <v>32</v>
      </c>
      <c r="H282" s="3" t="s">
        <v>42</v>
      </c>
      <c r="I282" s="3" t="s">
        <v>23</v>
      </c>
      <c r="J282" s="3">
        <v>8</v>
      </c>
      <c r="K282" s="3">
        <v>435</v>
      </c>
      <c r="L282" s="3">
        <v>3480</v>
      </c>
    </row>
    <row r="283" spans="1:12">
      <c r="A283" s="3" t="s">
        <v>321</v>
      </c>
      <c r="B283" s="25">
        <v>46229</v>
      </c>
      <c r="C283" s="3" t="s">
        <v>108</v>
      </c>
      <c r="D283" s="3" t="s">
        <v>44</v>
      </c>
      <c r="E283" s="3" t="s">
        <v>322</v>
      </c>
      <c r="F283" s="3" t="s">
        <v>300</v>
      </c>
      <c r="G283" s="3" t="s">
        <v>21</v>
      </c>
      <c r="H283" s="3" t="s">
        <v>28</v>
      </c>
      <c r="I283" s="3" t="s">
        <v>23</v>
      </c>
      <c r="J283" s="3">
        <v>19</v>
      </c>
      <c r="K283" s="3">
        <v>275</v>
      </c>
      <c r="L283" s="3">
        <v>5225</v>
      </c>
    </row>
    <row r="284" spans="1:12">
      <c r="A284" s="3" t="s">
        <v>165</v>
      </c>
      <c r="B284" s="25">
        <v>46229</v>
      </c>
      <c r="C284" s="3" t="s">
        <v>108</v>
      </c>
      <c r="D284" s="3" t="s">
        <v>44</v>
      </c>
      <c r="E284" s="3" t="s">
        <v>288</v>
      </c>
      <c r="F284" s="3" t="s">
        <v>164</v>
      </c>
      <c r="G284" s="3" t="s">
        <v>21</v>
      </c>
      <c r="H284" s="3" t="s">
        <v>58</v>
      </c>
      <c r="I284" s="3" t="s">
        <v>23</v>
      </c>
      <c r="J284" s="3">
        <v>12</v>
      </c>
      <c r="K284" s="3">
        <v>479</v>
      </c>
      <c r="L284" s="3">
        <v>5748</v>
      </c>
    </row>
    <row r="285" spans="1:12">
      <c r="A285" s="3" t="s">
        <v>43</v>
      </c>
      <c r="B285" s="25">
        <v>46230</v>
      </c>
      <c r="C285" s="3" t="s">
        <v>44</v>
      </c>
      <c r="D285" s="3" t="s">
        <v>44</v>
      </c>
      <c r="E285" s="3" t="s">
        <v>45</v>
      </c>
      <c r="F285" s="3" t="s">
        <v>46</v>
      </c>
      <c r="G285" s="3" t="s">
        <v>14</v>
      </c>
      <c r="H285" s="3" t="s">
        <v>22</v>
      </c>
      <c r="I285" s="3" t="s">
        <v>23</v>
      </c>
      <c r="J285" s="3">
        <v>23</v>
      </c>
      <c r="K285" s="3">
        <v>408</v>
      </c>
      <c r="L285" s="3">
        <v>9384</v>
      </c>
    </row>
    <row r="286" spans="1:12">
      <c r="A286" s="3" t="s">
        <v>43</v>
      </c>
      <c r="B286" s="25">
        <v>46230</v>
      </c>
      <c r="C286" s="3" t="s">
        <v>110</v>
      </c>
      <c r="D286" s="3" t="s">
        <v>95</v>
      </c>
      <c r="E286" s="3" t="s">
        <v>217</v>
      </c>
      <c r="F286" s="3" t="s">
        <v>93</v>
      </c>
      <c r="G286" s="3" t="s">
        <v>14</v>
      </c>
      <c r="H286" s="3" t="s">
        <v>28</v>
      </c>
      <c r="I286" s="3" t="s">
        <v>23</v>
      </c>
      <c r="J286" s="3">
        <v>13</v>
      </c>
      <c r="K286" s="3">
        <v>273</v>
      </c>
      <c r="L286" s="3">
        <v>3549</v>
      </c>
    </row>
    <row r="287" spans="1:12">
      <c r="A287" s="3" t="s">
        <v>43</v>
      </c>
      <c r="B287" s="25">
        <v>46230</v>
      </c>
      <c r="C287" s="3" t="s">
        <v>88</v>
      </c>
      <c r="D287" s="3" t="s">
        <v>25</v>
      </c>
      <c r="E287" s="3" t="s">
        <v>241</v>
      </c>
      <c r="F287" s="3" t="s">
        <v>242</v>
      </c>
      <c r="G287" s="3" t="s">
        <v>14</v>
      </c>
      <c r="H287" s="3" t="s">
        <v>42</v>
      </c>
      <c r="I287" s="3" t="s">
        <v>23</v>
      </c>
      <c r="J287" s="3">
        <v>20</v>
      </c>
      <c r="K287" s="3">
        <v>430</v>
      </c>
      <c r="L287" s="3">
        <v>8600</v>
      </c>
    </row>
    <row r="288" spans="1:12">
      <c r="A288" s="3" t="s">
        <v>311</v>
      </c>
      <c r="B288" s="25">
        <v>46230</v>
      </c>
      <c r="C288" s="3" t="s">
        <v>73</v>
      </c>
      <c r="D288" s="3" t="s">
        <v>44</v>
      </c>
      <c r="E288" s="3" t="s">
        <v>176</v>
      </c>
      <c r="F288" s="3" t="s">
        <v>103</v>
      </c>
      <c r="G288" s="3" t="s">
        <v>32</v>
      </c>
      <c r="H288" s="3" t="s">
        <v>42</v>
      </c>
      <c r="I288" s="3" t="s">
        <v>23</v>
      </c>
      <c r="J288" s="3">
        <v>7</v>
      </c>
      <c r="K288" s="3">
        <v>436</v>
      </c>
      <c r="L288" s="3">
        <v>3052</v>
      </c>
    </row>
    <row r="289" spans="1:12">
      <c r="A289" s="3" t="s">
        <v>311</v>
      </c>
      <c r="B289" s="25">
        <v>46230</v>
      </c>
      <c r="C289" s="3" t="s">
        <v>25</v>
      </c>
      <c r="D289" s="3" t="s">
        <v>25</v>
      </c>
      <c r="E289" s="3" t="s">
        <v>142</v>
      </c>
      <c r="F289" s="3" t="s">
        <v>137</v>
      </c>
      <c r="G289" s="3" t="s">
        <v>41</v>
      </c>
      <c r="H289" s="3" t="s">
        <v>42</v>
      </c>
      <c r="I289" s="3" t="s">
        <v>23</v>
      </c>
      <c r="J289" s="3">
        <v>21</v>
      </c>
      <c r="K289" s="3">
        <v>414</v>
      </c>
      <c r="L289" s="3">
        <v>8694</v>
      </c>
    </row>
    <row r="290" spans="1:12">
      <c r="A290" s="3" t="s">
        <v>135</v>
      </c>
      <c r="B290" s="25">
        <v>46231</v>
      </c>
      <c r="C290" s="3" t="s">
        <v>73</v>
      </c>
      <c r="D290" s="3" t="s">
        <v>44</v>
      </c>
      <c r="E290" s="3" t="s">
        <v>136</v>
      </c>
      <c r="F290" s="3" t="s">
        <v>137</v>
      </c>
      <c r="G290" s="3" t="s">
        <v>14</v>
      </c>
      <c r="H290" s="3" t="s">
        <v>28</v>
      </c>
      <c r="I290" s="3" t="s">
        <v>23</v>
      </c>
      <c r="J290" s="3">
        <v>5</v>
      </c>
      <c r="K290" s="3">
        <v>295</v>
      </c>
      <c r="L290" s="3">
        <v>1475</v>
      </c>
    </row>
    <row r="291" spans="1:12">
      <c r="A291" s="3" t="s">
        <v>138</v>
      </c>
      <c r="B291" s="25">
        <v>46231</v>
      </c>
      <c r="C291" s="3" t="s">
        <v>139</v>
      </c>
      <c r="D291" s="3" t="s">
        <v>139</v>
      </c>
      <c r="E291" s="3" t="s">
        <v>140</v>
      </c>
      <c r="F291" s="3" t="s">
        <v>118</v>
      </c>
      <c r="G291" s="3" t="s">
        <v>50</v>
      </c>
      <c r="H291" s="3" t="s">
        <v>58</v>
      </c>
      <c r="I291" s="3" t="s">
        <v>23</v>
      </c>
      <c r="J291" s="3">
        <v>15</v>
      </c>
      <c r="K291" s="3">
        <v>475</v>
      </c>
      <c r="L291" s="3">
        <v>7125</v>
      </c>
    </row>
    <row r="292" spans="1:12">
      <c r="A292" s="3" t="s">
        <v>138</v>
      </c>
      <c r="B292" s="25">
        <v>46231</v>
      </c>
      <c r="C292" s="3" t="s">
        <v>38</v>
      </c>
      <c r="D292" s="3" t="s">
        <v>139</v>
      </c>
      <c r="E292" s="3" t="s">
        <v>166</v>
      </c>
      <c r="F292" s="3" t="s">
        <v>106</v>
      </c>
      <c r="G292" s="3" t="s">
        <v>14</v>
      </c>
      <c r="H292" s="3" t="s">
        <v>22</v>
      </c>
      <c r="I292" s="3" t="s">
        <v>23</v>
      </c>
      <c r="J292" s="4"/>
      <c r="K292" s="3">
        <v>410</v>
      </c>
      <c r="L292" s="4"/>
    </row>
    <row r="293" spans="1:12">
      <c r="A293" s="3" t="s">
        <v>138</v>
      </c>
      <c r="B293" s="25">
        <v>46231</v>
      </c>
      <c r="C293" s="3" t="s">
        <v>52</v>
      </c>
      <c r="D293" s="3" t="s">
        <v>25</v>
      </c>
      <c r="E293" s="3" t="s">
        <v>168</v>
      </c>
      <c r="F293" s="3" t="s">
        <v>115</v>
      </c>
      <c r="G293" s="3" t="s">
        <v>41</v>
      </c>
      <c r="H293" s="3" t="s">
        <v>42</v>
      </c>
      <c r="I293" s="3" t="s">
        <v>23</v>
      </c>
      <c r="J293" s="3">
        <v>11</v>
      </c>
      <c r="K293" s="3">
        <v>435</v>
      </c>
      <c r="L293" s="3">
        <v>4785</v>
      </c>
    </row>
    <row r="294" spans="1:12">
      <c r="A294" s="3" t="s">
        <v>138</v>
      </c>
      <c r="B294" s="25">
        <v>46231</v>
      </c>
      <c r="C294" s="3" t="s">
        <v>25</v>
      </c>
      <c r="D294" s="3" t="s">
        <v>25</v>
      </c>
      <c r="E294" s="3" t="s">
        <v>307</v>
      </c>
      <c r="F294" s="3" t="s">
        <v>115</v>
      </c>
      <c r="G294" s="3" t="s">
        <v>14</v>
      </c>
      <c r="H294" s="3" t="s">
        <v>22</v>
      </c>
      <c r="I294" s="3" t="s">
        <v>23</v>
      </c>
      <c r="J294" s="3">
        <v>4</v>
      </c>
      <c r="K294" s="3">
        <v>419</v>
      </c>
      <c r="L294" s="3">
        <v>1676</v>
      </c>
    </row>
    <row r="295" spans="1:12">
      <c r="A295" s="3" t="s">
        <v>135</v>
      </c>
      <c r="B295" s="25">
        <v>46231</v>
      </c>
      <c r="C295" s="3" t="s">
        <v>110</v>
      </c>
      <c r="D295" s="3" t="s">
        <v>95</v>
      </c>
      <c r="E295" s="3" t="s">
        <v>217</v>
      </c>
      <c r="F295" s="3" t="s">
        <v>93</v>
      </c>
      <c r="G295" s="3" t="s">
        <v>14</v>
      </c>
      <c r="H295" s="3" t="s">
        <v>22</v>
      </c>
      <c r="I295" s="3" t="s">
        <v>23</v>
      </c>
      <c r="J295" s="3">
        <v>14</v>
      </c>
      <c r="K295" s="3">
        <v>402</v>
      </c>
      <c r="L295" s="3">
        <v>5628</v>
      </c>
    </row>
    <row r="296" spans="1:12">
      <c r="A296" s="3" t="s">
        <v>325</v>
      </c>
      <c r="B296" s="25">
        <v>46231</v>
      </c>
      <c r="C296" s="3" t="s">
        <v>120</v>
      </c>
      <c r="D296" s="3" t="s">
        <v>120</v>
      </c>
      <c r="E296" s="3" t="s">
        <v>125</v>
      </c>
      <c r="F296" s="3" t="s">
        <v>112</v>
      </c>
      <c r="G296" s="3" t="s">
        <v>32</v>
      </c>
      <c r="H296" s="3" t="s">
        <v>22</v>
      </c>
      <c r="I296" s="3" t="s">
        <v>23</v>
      </c>
      <c r="J296" s="3">
        <v>13</v>
      </c>
      <c r="K296" s="3">
        <v>406</v>
      </c>
      <c r="L296" s="3">
        <v>5278</v>
      </c>
    </row>
    <row r="297" spans="1:12">
      <c r="A297" s="3" t="s">
        <v>194</v>
      </c>
      <c r="B297" s="25">
        <v>46232</v>
      </c>
      <c r="C297" s="3" t="s">
        <v>44</v>
      </c>
      <c r="D297" s="3" t="s">
        <v>44</v>
      </c>
      <c r="E297" s="3" t="s">
        <v>45</v>
      </c>
      <c r="F297" s="3" t="s">
        <v>46</v>
      </c>
      <c r="G297" s="3" t="s">
        <v>14</v>
      </c>
      <c r="H297" s="3" t="s">
        <v>15</v>
      </c>
      <c r="I297" s="3" t="s">
        <v>16</v>
      </c>
      <c r="J297" s="3">
        <v>11</v>
      </c>
      <c r="K297" s="3">
        <v>742</v>
      </c>
      <c r="L297" s="3">
        <v>8162</v>
      </c>
    </row>
    <row r="298" spans="1:12">
      <c r="A298" s="3" t="s">
        <v>302</v>
      </c>
      <c r="B298" s="25">
        <v>46232</v>
      </c>
      <c r="C298" s="3" t="s">
        <v>11</v>
      </c>
      <c r="D298" s="3" t="s">
        <v>120</v>
      </c>
      <c r="E298" s="3" t="s">
        <v>149</v>
      </c>
      <c r="F298" s="3" t="s">
        <v>115</v>
      </c>
      <c r="G298" s="3" t="s">
        <v>50</v>
      </c>
      <c r="H298" s="3" t="s">
        <v>15</v>
      </c>
      <c r="I298" s="3" t="s">
        <v>16</v>
      </c>
      <c r="J298" s="3">
        <v>3</v>
      </c>
      <c r="K298" s="3">
        <v>757</v>
      </c>
      <c r="L298" s="3">
        <v>2271</v>
      </c>
    </row>
    <row r="299" spans="1:12">
      <c r="A299" s="3" t="s">
        <v>302</v>
      </c>
      <c r="B299" s="25">
        <v>46232</v>
      </c>
      <c r="C299" s="3" t="s">
        <v>95</v>
      </c>
      <c r="D299" s="3" t="s">
        <v>95</v>
      </c>
      <c r="E299" s="3" t="s">
        <v>19</v>
      </c>
      <c r="F299" s="3" t="s">
        <v>20</v>
      </c>
      <c r="G299" s="3" t="s">
        <v>21</v>
      </c>
      <c r="H299" s="3" t="s">
        <v>42</v>
      </c>
      <c r="I299" s="3" t="s">
        <v>23</v>
      </c>
      <c r="J299" s="3">
        <v>5</v>
      </c>
      <c r="K299" s="3">
        <v>429</v>
      </c>
      <c r="L299" s="3">
        <v>2145</v>
      </c>
    </row>
    <row r="300" spans="1:12">
      <c r="A300" s="3" t="s">
        <v>208</v>
      </c>
      <c r="B300" s="25">
        <v>46233</v>
      </c>
      <c r="C300" s="3" t="s">
        <v>88</v>
      </c>
      <c r="D300" s="3" t="s">
        <v>25</v>
      </c>
      <c r="E300" s="3" t="s">
        <v>168</v>
      </c>
      <c r="F300" s="3" t="s">
        <v>115</v>
      </c>
      <c r="G300" s="3" t="s">
        <v>41</v>
      </c>
      <c r="H300" s="3" t="s">
        <v>28</v>
      </c>
      <c r="I300" s="3" t="s">
        <v>23</v>
      </c>
      <c r="J300" s="3">
        <v>17</v>
      </c>
      <c r="K300" s="3">
        <v>296</v>
      </c>
      <c r="L300" s="3">
        <v>5032</v>
      </c>
    </row>
    <row r="301" spans="1:12">
      <c r="A301" s="3" t="s">
        <v>261</v>
      </c>
      <c r="B301" s="25">
        <v>46233</v>
      </c>
      <c r="C301" s="3" t="s">
        <v>38</v>
      </c>
      <c r="D301" s="3" t="s">
        <v>139</v>
      </c>
      <c r="E301" s="3" t="s">
        <v>193</v>
      </c>
      <c r="F301" s="3" t="s">
        <v>118</v>
      </c>
      <c r="G301" s="3" t="s">
        <v>14</v>
      </c>
      <c r="H301" s="3" t="s">
        <v>58</v>
      </c>
      <c r="I301" s="3" t="s">
        <v>23</v>
      </c>
      <c r="J301" s="3">
        <v>13</v>
      </c>
      <c r="K301" s="3">
        <v>455</v>
      </c>
      <c r="L301" s="3">
        <v>5915</v>
      </c>
    </row>
    <row r="302" spans="1:12">
      <c r="A302" s="3" t="s">
        <v>292</v>
      </c>
      <c r="B302" s="25">
        <v>46233</v>
      </c>
      <c r="C302" s="3" t="s">
        <v>139</v>
      </c>
      <c r="D302" s="3" t="s">
        <v>139</v>
      </c>
      <c r="E302" s="3" t="s">
        <v>253</v>
      </c>
      <c r="F302" s="3" t="s">
        <v>239</v>
      </c>
      <c r="G302" s="3" t="s">
        <v>21</v>
      </c>
      <c r="H302" s="3" t="s">
        <v>28</v>
      </c>
      <c r="I302" s="3" t="s">
        <v>23</v>
      </c>
      <c r="J302" s="3">
        <v>23</v>
      </c>
      <c r="K302" s="3">
        <v>273</v>
      </c>
      <c r="L302" s="3">
        <v>6279</v>
      </c>
    </row>
    <row r="303" spans="1:12">
      <c r="A303" s="3" t="s">
        <v>175</v>
      </c>
      <c r="B303" s="25">
        <v>46234</v>
      </c>
      <c r="C303" s="3" t="s">
        <v>44</v>
      </c>
      <c r="D303" s="3" t="s">
        <v>44</v>
      </c>
      <c r="E303" s="3" t="s">
        <v>176</v>
      </c>
      <c r="F303" s="3" t="s">
        <v>103</v>
      </c>
      <c r="G303" s="3" t="s">
        <v>32</v>
      </c>
      <c r="H303" s="3" t="s">
        <v>58</v>
      </c>
      <c r="I303" s="3" t="s">
        <v>23</v>
      </c>
      <c r="J303" s="3">
        <v>15</v>
      </c>
      <c r="K303" s="3">
        <v>456</v>
      </c>
      <c r="L303" s="3">
        <v>6840</v>
      </c>
    </row>
    <row r="304" spans="1:12">
      <c r="A304" s="3" t="s">
        <v>202</v>
      </c>
      <c r="B304" s="25">
        <v>46234</v>
      </c>
      <c r="C304" s="3" t="s">
        <v>44</v>
      </c>
      <c r="D304" s="3" t="s">
        <v>44</v>
      </c>
      <c r="E304" s="3" t="s">
        <v>45</v>
      </c>
      <c r="F304" s="3" t="s">
        <v>46</v>
      </c>
      <c r="G304" s="3" t="s">
        <v>14</v>
      </c>
      <c r="H304" s="3" t="s">
        <v>22</v>
      </c>
      <c r="I304" s="3" t="s">
        <v>23</v>
      </c>
      <c r="J304" s="3">
        <v>4</v>
      </c>
      <c r="K304" s="3">
        <v>410</v>
      </c>
      <c r="L304" s="3">
        <v>1640</v>
      </c>
    </row>
    <row r="305" spans="1:12">
      <c r="A305" s="3" t="s">
        <v>203</v>
      </c>
      <c r="B305" s="25">
        <v>46234</v>
      </c>
      <c r="C305" s="3" t="s">
        <v>110</v>
      </c>
      <c r="D305" s="3" t="s">
        <v>95</v>
      </c>
      <c r="E305" s="3" t="s">
        <v>204</v>
      </c>
      <c r="F305" s="3" t="s">
        <v>137</v>
      </c>
      <c r="G305" s="3" t="s">
        <v>14</v>
      </c>
      <c r="H305" s="3" t="s">
        <v>15</v>
      </c>
      <c r="I305" s="3" t="s">
        <v>16</v>
      </c>
      <c r="J305" s="3">
        <v>18</v>
      </c>
      <c r="K305" s="3">
        <v>738</v>
      </c>
      <c r="L305" s="3">
        <v>13284</v>
      </c>
    </row>
    <row r="306" spans="1:12">
      <c r="A306" s="3" t="s">
        <v>202</v>
      </c>
      <c r="B306" s="25">
        <v>46234</v>
      </c>
      <c r="C306" s="3" t="s">
        <v>25</v>
      </c>
      <c r="D306" s="3" t="s">
        <v>25</v>
      </c>
      <c r="E306" s="3" t="s">
        <v>82</v>
      </c>
      <c r="F306" s="3" t="s">
        <v>83</v>
      </c>
      <c r="G306" s="3" t="s">
        <v>41</v>
      </c>
      <c r="H306" s="3" t="s">
        <v>28</v>
      </c>
      <c r="I306" s="3" t="s">
        <v>23</v>
      </c>
      <c r="J306" s="3">
        <v>7</v>
      </c>
      <c r="K306" s="3">
        <v>274</v>
      </c>
      <c r="L306" s="3">
        <v>1918</v>
      </c>
    </row>
    <row r="307" spans="1:12">
      <c r="A307" s="3" t="s">
        <v>203</v>
      </c>
      <c r="B307" s="25">
        <v>46234</v>
      </c>
      <c r="C307" s="3" t="s">
        <v>38</v>
      </c>
      <c r="D307" s="3" t="s">
        <v>139</v>
      </c>
      <c r="E307" s="3" t="s">
        <v>298</v>
      </c>
      <c r="F307" s="3" t="s">
        <v>137</v>
      </c>
      <c r="G307" s="3" t="s">
        <v>50</v>
      </c>
      <c r="H307" s="3" t="s">
        <v>28</v>
      </c>
      <c r="I307" s="3" t="s">
        <v>23</v>
      </c>
      <c r="J307" s="3">
        <v>3</v>
      </c>
      <c r="K307" s="3">
        <v>284</v>
      </c>
      <c r="L307" s="3">
        <v>852</v>
      </c>
    </row>
    <row r="308" spans="1:12">
      <c r="A308" s="3" t="s">
        <v>175</v>
      </c>
      <c r="B308" s="25">
        <v>46234</v>
      </c>
      <c r="C308" s="3" t="s">
        <v>52</v>
      </c>
      <c r="D308" s="3" t="s">
        <v>25</v>
      </c>
      <c r="E308" s="3" t="s">
        <v>301</v>
      </c>
      <c r="F308" s="3" t="s">
        <v>103</v>
      </c>
      <c r="G308" s="3" t="s">
        <v>14</v>
      </c>
      <c r="H308" s="3" t="s">
        <v>22</v>
      </c>
      <c r="I308" s="3" t="s">
        <v>23</v>
      </c>
      <c r="J308" s="3">
        <v>10</v>
      </c>
      <c r="K308" s="3">
        <v>415</v>
      </c>
      <c r="L308" s="3">
        <v>4150</v>
      </c>
    </row>
    <row r="309" spans="1:12">
      <c r="A309" s="3" t="s">
        <v>202</v>
      </c>
      <c r="B309" s="25">
        <v>46234</v>
      </c>
      <c r="C309" s="3" t="s">
        <v>88</v>
      </c>
      <c r="D309" s="3" t="s">
        <v>25</v>
      </c>
      <c r="E309" s="3" t="s">
        <v>238</v>
      </c>
      <c r="F309" s="3" t="s">
        <v>239</v>
      </c>
      <c r="G309" s="3" t="s">
        <v>14</v>
      </c>
      <c r="H309" s="3" t="s">
        <v>28</v>
      </c>
      <c r="I309" s="3" t="s">
        <v>23</v>
      </c>
      <c r="J309" s="3">
        <v>7</v>
      </c>
      <c r="K309" s="3">
        <v>300</v>
      </c>
      <c r="L309" s="3">
        <v>2100</v>
      </c>
    </row>
    <row r="310" spans="1:12">
      <c r="A310" s="3" t="s">
        <v>203</v>
      </c>
      <c r="B310" s="25">
        <v>46234</v>
      </c>
      <c r="C310" s="3" t="s">
        <v>38</v>
      </c>
      <c r="D310" s="3" t="s">
        <v>139</v>
      </c>
      <c r="E310" s="3" t="s">
        <v>253</v>
      </c>
      <c r="F310" s="3" t="s">
        <v>239</v>
      </c>
      <c r="G310" s="3" t="s">
        <v>21</v>
      </c>
      <c r="H310" s="3" t="s">
        <v>42</v>
      </c>
      <c r="I310" s="3" t="s">
        <v>23</v>
      </c>
      <c r="J310" s="3">
        <v>6</v>
      </c>
      <c r="K310" s="3">
        <v>439</v>
      </c>
      <c r="L310" s="3">
        <v>2634</v>
      </c>
    </row>
    <row r="311" spans="1:12">
      <c r="A311" s="3" t="s">
        <v>203</v>
      </c>
      <c r="B311" s="25">
        <v>46234</v>
      </c>
      <c r="C311" s="3" t="s">
        <v>11</v>
      </c>
      <c r="D311" s="3" t="s">
        <v>120</v>
      </c>
      <c r="E311" s="3" t="s">
        <v>185</v>
      </c>
      <c r="F311" s="3" t="s">
        <v>36</v>
      </c>
      <c r="G311" s="3" t="s">
        <v>50</v>
      </c>
      <c r="H311" s="3" t="s">
        <v>33</v>
      </c>
      <c r="I311" s="3" t="s">
        <v>23</v>
      </c>
      <c r="J311" s="3">
        <v>2</v>
      </c>
      <c r="K311" s="3">
        <v>401</v>
      </c>
      <c r="L311" s="3">
        <v>802</v>
      </c>
    </row>
  </sheetData>
  <autoFilter ref="A1:L311" xr:uid="{6C5A5BD8-6F38-4323-AAED-701C6191C4B1}">
    <sortState xmlns:xlrd2="http://schemas.microsoft.com/office/spreadsheetml/2017/richdata2" ref="A2:L311">
      <sortCondition ref="B1:B32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Clean Data</vt:lpstr>
      <vt:lpstr>Cleaning_Log</vt:lpstr>
      <vt:lpstr>Pivot Tables</vt:lpstr>
      <vt:lpstr>Dashboard</vt:lpstr>
      <vt:lpstr>Back up clean data</vt:lpstr>
      <vt:lpstr>Outlet Activity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Shreya Thaware</cp:lastModifiedBy>
  <dcterms:created xsi:type="dcterms:W3CDTF">2026-09-17T12:57:03Z</dcterms:created>
  <dcterms:modified xsi:type="dcterms:W3CDTF">2026-09-20T15:08:09Z</dcterms:modified>
</cp:coreProperties>
</file>